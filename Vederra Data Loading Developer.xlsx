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e attributes" sheetId="1" r:id="rId5"/>
    <sheet state="visible" name="Departments and skills" sheetId="2" r:id="rId6"/>
    <sheet state="visible" name="Module Profile Data" sheetId="3" r:id="rId7"/>
    <sheet state="visible" name="Task Template Data" sheetId="4" r:id="rId8"/>
    <sheet state="visible" name="TIme Study Data" sheetId="5" r:id="rId9"/>
  </sheets>
  <definedNames>
    <definedName hidden="1" localSheetId="2" name="_xlnm._FilterDatabase">'Module Profile Data'!$B$3:$AG$73</definedName>
    <definedName hidden="1" localSheetId="3" name="_xlnm._FilterDatabase">'Task Template Data'!$A$2:$AC$76</definedName>
  </definedNames>
  <calcPr/>
</workbook>
</file>

<file path=xl/sharedStrings.xml><?xml version="1.0" encoding="utf-8"?>
<sst xmlns="http://schemas.openxmlformats.org/spreadsheetml/2006/main" count="840" uniqueCount="351">
  <si>
    <t>INSERT</t>
  </si>
  <si>
    <t>SKILLS</t>
  </si>
  <si>
    <t>ID HERE</t>
  </si>
  <si>
    <t>MODULE ATTRIBUTES</t>
  </si>
  <si>
    <t>A</t>
  </si>
  <si>
    <t xml:space="preserve">Framing </t>
  </si>
  <si>
    <t>Length</t>
  </si>
  <si>
    <t>B</t>
  </si>
  <si>
    <t>Electrical Rough</t>
  </si>
  <si>
    <t>Width</t>
  </si>
  <si>
    <t>C</t>
  </si>
  <si>
    <t>Plumbing Rough</t>
  </si>
  <si>
    <t>Square Feet</t>
  </si>
  <si>
    <t>D</t>
  </si>
  <si>
    <t>HVAC</t>
  </si>
  <si>
    <t>LF of Cabinets Including Uppers</t>
  </si>
  <si>
    <t>E</t>
  </si>
  <si>
    <t>Drywall Hanging</t>
  </si>
  <si>
    <t>Number of Doors</t>
  </si>
  <si>
    <t>F</t>
  </si>
  <si>
    <t>Drywall Mud</t>
  </si>
  <si>
    <t>Number of Windows</t>
  </si>
  <si>
    <t>G</t>
  </si>
  <si>
    <t>Texture</t>
  </si>
  <si>
    <t>Sqft of Vynyl Flooring Installed</t>
  </si>
  <si>
    <t>H</t>
  </si>
  <si>
    <t xml:space="preserve">Finish Carpentry </t>
  </si>
  <si>
    <t>Sqft of Carpet</t>
  </si>
  <si>
    <t>I</t>
  </si>
  <si>
    <t>Painting</t>
  </si>
  <si>
    <t>Number of J-Boxes</t>
  </si>
  <si>
    <t>J</t>
  </si>
  <si>
    <t>Electrical Trim</t>
  </si>
  <si>
    <t>Number of Plumbing Fixtures</t>
  </si>
  <si>
    <t>K</t>
  </si>
  <si>
    <t>Plumbing Trim</t>
  </si>
  <si>
    <t>Number of Tubs/Showers</t>
  </si>
  <si>
    <t>L</t>
  </si>
  <si>
    <t xml:space="preserve">Roofing </t>
  </si>
  <si>
    <t>LF Exterior Walls</t>
  </si>
  <si>
    <t>M</t>
  </si>
  <si>
    <t xml:space="preserve">Flooring </t>
  </si>
  <si>
    <t>LF of Exterior Fire Wall</t>
  </si>
  <si>
    <t>N</t>
  </si>
  <si>
    <t>Box Moving</t>
  </si>
  <si>
    <t>LF of Interior Walls</t>
  </si>
  <si>
    <t>O</t>
  </si>
  <si>
    <t>Pre assembly</t>
  </si>
  <si>
    <t>Number of Interior Walls</t>
  </si>
  <si>
    <t>P</t>
  </si>
  <si>
    <t>General Labor</t>
  </si>
  <si>
    <t>LF of Interior Fire Wall</t>
  </si>
  <si>
    <t>LF of Interior Sound Wall</t>
  </si>
  <si>
    <t>Total LF of All Walls</t>
  </si>
  <si>
    <t>Number of Mini Splits</t>
  </si>
  <si>
    <t>Number of Furance</t>
  </si>
  <si>
    <t>LF of Ducting</t>
  </si>
  <si>
    <t>Number of Appliances</t>
  </si>
  <si>
    <t>Roof Square Ft</t>
  </si>
  <si>
    <t xml:space="preserve">Sqft Roof Underlayment </t>
  </si>
  <si>
    <t>Sqft of Finished Roofing</t>
  </si>
  <si>
    <t>LF of Fascia</t>
  </si>
  <si>
    <t>Siding Installed Sqft</t>
  </si>
  <si>
    <t>Number of Sinks</t>
  </si>
  <si>
    <t>Number of Stair Sections</t>
  </si>
  <si>
    <t>DEPARTMENTS</t>
  </si>
  <si>
    <t xml:space="preserve">Employee </t>
  </si>
  <si>
    <t>Preassembly</t>
  </si>
  <si>
    <t>Structure</t>
  </si>
  <si>
    <t>MEP</t>
  </si>
  <si>
    <t>Building Envelope</t>
  </si>
  <si>
    <t>Interior / Exterior</t>
  </si>
  <si>
    <t>MEP Finish</t>
  </si>
  <si>
    <t>Final Close-Out / Wrap</t>
  </si>
  <si>
    <t>Example</t>
  </si>
  <si>
    <t>Jose Lousie</t>
  </si>
  <si>
    <t>X</t>
  </si>
  <si>
    <t>Juan Carlos</t>
  </si>
  <si>
    <t xml:space="preserve">Test 3 </t>
  </si>
  <si>
    <t>Teat 4</t>
  </si>
  <si>
    <t>MODULE ATTRIBUTES --&gt;</t>
  </si>
  <si>
    <t>Project</t>
  </si>
  <si>
    <t>Profile</t>
  </si>
  <si>
    <t>Serial Number</t>
  </si>
  <si>
    <t>Saw Box</t>
  </si>
  <si>
    <t>Number of Furances</t>
  </si>
  <si>
    <t>Thelcrest</t>
  </si>
  <si>
    <t>Duplex 1 A-A 1st floor</t>
  </si>
  <si>
    <t>2601-01</t>
  </si>
  <si>
    <t>x</t>
  </si>
  <si>
    <t>Duplex 1 B-B 2nd floot</t>
  </si>
  <si>
    <t>2601-02</t>
  </si>
  <si>
    <t>Duplex 1 C-C studio</t>
  </si>
  <si>
    <t>2601-03</t>
  </si>
  <si>
    <t>2602-01</t>
  </si>
  <si>
    <t>Duplex 1 B-B 2nd floor</t>
  </si>
  <si>
    <t>2602-02</t>
  </si>
  <si>
    <t>2602-03</t>
  </si>
  <si>
    <t>Crossing</t>
  </si>
  <si>
    <t>Bldg A</t>
  </si>
  <si>
    <t>2603-A01</t>
  </si>
  <si>
    <t>2603-A02</t>
  </si>
  <si>
    <t>2603-A03</t>
  </si>
  <si>
    <t>2603-A04</t>
  </si>
  <si>
    <t>2603-A05</t>
  </si>
  <si>
    <t>2603-A06</t>
  </si>
  <si>
    <t>2603-A07</t>
  </si>
  <si>
    <t>2603-A08</t>
  </si>
  <si>
    <t>2603-A09</t>
  </si>
  <si>
    <t>2603-A10</t>
  </si>
  <si>
    <t>2603-A11</t>
  </si>
  <si>
    <t>2603-A12</t>
  </si>
  <si>
    <t>Bldg B</t>
  </si>
  <si>
    <t>2604-B01</t>
  </si>
  <si>
    <t>2604-B02</t>
  </si>
  <si>
    <t>2604-B03</t>
  </si>
  <si>
    <t>2604-B04</t>
  </si>
  <si>
    <t>2604-B05</t>
  </si>
  <si>
    <t>2604-B06</t>
  </si>
  <si>
    <t>2604-B07</t>
  </si>
  <si>
    <t>2604-B08</t>
  </si>
  <si>
    <t>2604-B09</t>
  </si>
  <si>
    <t>2604-B10</t>
  </si>
  <si>
    <t>2604-B11</t>
  </si>
  <si>
    <t>2604-B12</t>
  </si>
  <si>
    <t>Bldg C</t>
  </si>
  <si>
    <t>2605-C01</t>
  </si>
  <si>
    <t>2605-C02</t>
  </si>
  <si>
    <t>2605-C03</t>
  </si>
  <si>
    <t>2605-C04</t>
  </si>
  <si>
    <t>2605-C05</t>
  </si>
  <si>
    <t>2605-C06</t>
  </si>
  <si>
    <t>2605-C07</t>
  </si>
  <si>
    <t>2605-C08</t>
  </si>
  <si>
    <t>2605-C09</t>
  </si>
  <si>
    <t>2605-C10</t>
  </si>
  <si>
    <t>2605-C11</t>
  </si>
  <si>
    <t>2605-C12</t>
  </si>
  <si>
    <t>Bldg D</t>
  </si>
  <si>
    <t>2606-D01</t>
  </si>
  <si>
    <t>2606-D02</t>
  </si>
  <si>
    <t>2606-D03</t>
  </si>
  <si>
    <t>2606-D04</t>
  </si>
  <si>
    <t>2606-D05</t>
  </si>
  <si>
    <t>2606-D06</t>
  </si>
  <si>
    <t>2606-D07</t>
  </si>
  <si>
    <t>2606-D08</t>
  </si>
  <si>
    <t>2606-D09</t>
  </si>
  <si>
    <t>2606-D10</t>
  </si>
  <si>
    <t>2606-D11</t>
  </si>
  <si>
    <t>2606-D12</t>
  </si>
  <si>
    <t>Bldg E</t>
  </si>
  <si>
    <t>2607-E01</t>
  </si>
  <si>
    <t>2607-E05</t>
  </si>
  <si>
    <t>2607-E06</t>
  </si>
  <si>
    <t>2607-E10</t>
  </si>
  <si>
    <t>2607-E11</t>
  </si>
  <si>
    <t>2607-E15</t>
  </si>
  <si>
    <t>2607-E02</t>
  </si>
  <si>
    <t>2607-E04</t>
  </si>
  <si>
    <t>2607-E07</t>
  </si>
  <si>
    <t>2607-E09</t>
  </si>
  <si>
    <t>2607-E12</t>
  </si>
  <si>
    <t>2607-E14</t>
  </si>
  <si>
    <t>Bldg E Studio</t>
  </si>
  <si>
    <t>2607-E03</t>
  </si>
  <si>
    <t>2607-E08</t>
  </si>
  <si>
    <t>2607-E13</t>
  </si>
  <si>
    <t>TASK TEMPLATES</t>
  </si>
  <si>
    <t>Station</t>
  </si>
  <si>
    <t>Department ID</t>
  </si>
  <si>
    <t>Task #</t>
  </si>
  <si>
    <t>Name</t>
  </si>
  <si>
    <t>Task Description</t>
  </si>
  <si>
    <t>Prerequisite task</t>
  </si>
  <si>
    <t>Min Workers</t>
  </si>
  <si>
    <t>Max Workers</t>
  </si>
  <si>
    <t>Module attributes</t>
  </si>
  <si>
    <t>Ranked skills</t>
  </si>
  <si>
    <t>Layout Floor System</t>
  </si>
  <si>
    <t xml:space="preserve">Layout Floor System, Attach Joist, Install Foam Blocks/ 5/8"Drywall </t>
  </si>
  <si>
    <t>A,H,P,O</t>
  </si>
  <si>
    <t xml:space="preserve">Floor System Completion </t>
  </si>
  <si>
    <t>Deck the Floor (Screw), Cut Access Panels, Snap Wall Lines,</t>
  </si>
  <si>
    <t xml:space="preserve">Underfloor Plumbing </t>
  </si>
  <si>
    <t>Layout Plumbing Fixtures, Drill Holes, Stub Down Pipes, Assemble DWV/Test, Assemble Water/Test</t>
  </si>
  <si>
    <t>C,K</t>
  </si>
  <si>
    <t>Underfloor Electrical</t>
  </si>
  <si>
    <t>Layout Electrical Fixtures, Drill Homes, Pull Wire, Install Quick Connects</t>
  </si>
  <si>
    <t>B,J</t>
  </si>
  <si>
    <t>Underfloor HVAC</t>
  </si>
  <si>
    <t>Layout Line Sets, Condensate Lines, Secure Lines</t>
  </si>
  <si>
    <t>Wall Building</t>
  </si>
  <si>
    <t>Layout Drywall, Assemble Wall Sections, Square Walls, Secure to Drywall, Cut off Excess Drywall, Store in Rack</t>
  </si>
  <si>
    <t>Fire Tape Fire Walls</t>
  </si>
  <si>
    <t>Fire Tape Fire Walls Prior to Wall Set</t>
  </si>
  <si>
    <t>13+16</t>
  </si>
  <si>
    <t>F,E,P</t>
  </si>
  <si>
    <t>Install Walls on Floor</t>
  </si>
  <si>
    <t xml:space="preserve">Install 3 Exterior Walls, Interior Walls, Stairs, Place Tubs, Lag Walls together, Install Rockwool Fire Separation </t>
  </si>
  <si>
    <t xml:space="preserve">Complete Rough Plumbing </t>
  </si>
  <si>
    <t>Complete In wall Plumbing, Install Plumbing Nail Plates</t>
  </si>
  <si>
    <t xml:space="preserve">Electrical Wall J-boxes </t>
  </si>
  <si>
    <t>Cut Out / Install Boxes</t>
  </si>
  <si>
    <t>Ceiling Construction</t>
  </si>
  <si>
    <t xml:space="preserve">Roof Construction </t>
  </si>
  <si>
    <t>Layout Drywall, Build Ceiling / Roof,  Attach Drywall, Fire Drywall Blocks Installed, Foam Blocks Installed, Set Roof on Box</t>
  </si>
  <si>
    <t>HVAC Rough In</t>
  </si>
  <si>
    <t>Layout HVAC, Install Risers, Install Ducting, Install line sets in walls, Insure any required blocking is installed, Cut Register Holes</t>
  </si>
  <si>
    <t>Complete Electrical Rough</t>
  </si>
  <si>
    <t>Pull Wires, Strip wires in boxes, Panel Build Out, Smerf Tues, Conduit To Panel, Risers to 2nd Floor</t>
  </si>
  <si>
    <t>Mud Ceiling / Roof in Rack</t>
  </si>
  <si>
    <t xml:space="preserve">1st Coat of Mud on Ceiling </t>
  </si>
  <si>
    <t xml:space="preserve">F,E </t>
  </si>
  <si>
    <t>Rough Plumbing Completion</t>
  </si>
  <si>
    <t>Top out Plumbing, Test DWV, Test Water</t>
  </si>
  <si>
    <t xml:space="preserve">Rough Mechanical Completion </t>
  </si>
  <si>
    <t>Dryer Vent Exit, Fart Fans Exit, Furnace Exhaust, Furnace Intake, Riser Extensions To 2nd Floor Register Location in Ceiling</t>
  </si>
  <si>
    <t xml:space="preserve">Rough Framing Complete </t>
  </si>
  <si>
    <t>Complete Any Rough Framing, Soffits Built for MEP</t>
  </si>
  <si>
    <t>20,21</t>
  </si>
  <si>
    <t>Foam all Penetrations</t>
  </si>
  <si>
    <t>Foam All Penetrations, Fire Foam and Fire Penetrations, NOTHING on Fire Sprinklers</t>
  </si>
  <si>
    <t>Insulation Install</t>
  </si>
  <si>
    <t>Wall Batt insulation, Interior Sound/Fire Wall Insulation, Blown-In Insulation, Blown in Vent Baffles Installed, Ceiling Joist Batt Blocks</t>
  </si>
  <si>
    <t>13+17</t>
  </si>
  <si>
    <t>Back Panel</t>
  </si>
  <si>
    <t>Complete Drywall Back Panel</t>
  </si>
  <si>
    <t>E,F,A,P</t>
  </si>
  <si>
    <t>Exterior OSB / Window Nailers</t>
  </si>
  <si>
    <t>Complete Exterior OSB, Install Window and Door 3/4" OSB Nailers</t>
  </si>
  <si>
    <t xml:space="preserve">Roof OSB Decking </t>
  </si>
  <si>
    <t>Complete Roof 5/8" OSB</t>
  </si>
  <si>
    <t>Exterior Fire Wall Drywall</t>
  </si>
  <si>
    <t>Complete Exterior Fire Wall Drywall</t>
  </si>
  <si>
    <t>Interior Tape / Mud 1st Coat</t>
  </si>
  <si>
    <t>Dry Time First Coat</t>
  </si>
  <si>
    <t>Interior Tape / Mud 2nd Coat</t>
  </si>
  <si>
    <t>Dry Time 2nd Coat</t>
  </si>
  <si>
    <t xml:space="preserve">Exterior Foam Board Insulation </t>
  </si>
  <si>
    <t>Complete Exterior R-Max</t>
  </si>
  <si>
    <t>12+13</t>
  </si>
  <si>
    <t>Final Sand of Drywall / Texture Prep</t>
  </si>
  <si>
    <t>Final Sand of Drywall, Tape All Opening</t>
  </si>
  <si>
    <t>Prep Machine / Materials, Spray Texture, Clean up</t>
  </si>
  <si>
    <t>Dry Time Texture</t>
  </si>
  <si>
    <t>Dry Time</t>
  </si>
  <si>
    <t>Paint - Wall Primer</t>
  </si>
  <si>
    <t>Spray Flat Paint</t>
  </si>
  <si>
    <t>Paint - Spray Semi-Gloss Paint</t>
  </si>
  <si>
    <t>Spray Semi-Gloss Paint</t>
  </si>
  <si>
    <t>Install Windows / Patio Doors</t>
  </si>
  <si>
    <t>Install windows, Patio Doors, Caulk Window and Door Flanges, Tape Windows/Doors, Foam Inside of Windows Doors</t>
  </si>
  <si>
    <t>Cabinet Install</t>
  </si>
  <si>
    <t>Kitchen and Bath Cabinets Install</t>
  </si>
  <si>
    <t xml:space="preserve">Electrical Final Trim Out </t>
  </si>
  <si>
    <t>Receptacles Installed, Switched Installed, Lights Installed, Breakers Installed</t>
  </si>
  <si>
    <t xml:space="preserve">Electrical Functionality Testing </t>
  </si>
  <si>
    <t>Complete Functionality Test</t>
  </si>
  <si>
    <t>Siding Install</t>
  </si>
  <si>
    <t>Install - Install Siding</t>
  </si>
  <si>
    <t>H,A,P</t>
  </si>
  <si>
    <t>Fascia / Soffit Install</t>
  </si>
  <si>
    <t>Install Fascia / Soffit</t>
  </si>
  <si>
    <t>Flooring Install</t>
  </si>
  <si>
    <t>Install Flooring (no carpet)</t>
  </si>
  <si>
    <t xml:space="preserve">Door Installation </t>
  </si>
  <si>
    <t>Interior and Exterior Door Install, Casing Installed</t>
  </si>
  <si>
    <t>Window Jambs/Casings &amp; Baseboard Installed</t>
  </si>
  <si>
    <t>Window Jambs/Casing Installed, Patio Door Jambs/Casing Installed, Baseboard Installed</t>
  </si>
  <si>
    <t>6,5,18</t>
  </si>
  <si>
    <t>Paint Prep For BaseBoard and Trim</t>
  </si>
  <si>
    <t>Prep For Paint of Baseboard / Trim, Mask Doors, Window Glass</t>
  </si>
  <si>
    <t>42,43</t>
  </si>
  <si>
    <t>I,P</t>
  </si>
  <si>
    <t xml:space="preserve">Paint Prep Exterior </t>
  </si>
  <si>
    <t>Caulking Siding, Tape of Windows and Doors</t>
  </si>
  <si>
    <t>Exterior Paint</t>
  </si>
  <si>
    <t>Paint Exterior including Doors</t>
  </si>
  <si>
    <t>I,G</t>
  </si>
  <si>
    <t xml:space="preserve">Interior Trim Paint </t>
  </si>
  <si>
    <t>Interior Paint, Door Jambs / Casing, Baseboards, Window Jambs, Casings</t>
  </si>
  <si>
    <t>5,6</t>
  </si>
  <si>
    <t>Install Door Handle/Lock Hardware</t>
  </si>
  <si>
    <t>Install hardware on Interior Doors, Exterior Doors, Towel Bars, Toilet Paper Holder</t>
  </si>
  <si>
    <t>H,P</t>
  </si>
  <si>
    <t xml:space="preserve">Install Roofing </t>
  </si>
  <si>
    <t>Drip Edge, Underlayment, and Finally. Roofing</t>
  </si>
  <si>
    <t>Install Final Plumbing Trims</t>
  </si>
  <si>
    <t>Plumbing Trims, Faucets, Under Sink Makeup</t>
  </si>
  <si>
    <t>Exterior Shrink Wrap</t>
  </si>
  <si>
    <t>Ceiling Wrap Spacer, Wrapping Installed</t>
  </si>
  <si>
    <t>Install Carpet</t>
  </si>
  <si>
    <t>Install Carpet, Plastic Carpet</t>
  </si>
  <si>
    <t>Load and Install Appliances</t>
  </si>
  <si>
    <t>Load Appliances, Install Appliances</t>
  </si>
  <si>
    <t>Load Shiploose</t>
  </si>
  <si>
    <t>Load Shiploose List</t>
  </si>
  <si>
    <t>Complete Remaining Underfloor Plumbing</t>
  </si>
  <si>
    <t>Complete any P-Traps</t>
  </si>
  <si>
    <t xml:space="preserve">Final Plumbing Fixture Testing </t>
  </si>
  <si>
    <t>Fixture Test on Plumbing</t>
  </si>
  <si>
    <t>Remove Skates - Build Attachment Points</t>
  </si>
  <si>
    <t>Remove Skates, Install missing Drywall, OSB, Foam Board, Final Plumbing Foaming</t>
  </si>
  <si>
    <t>Final Clean</t>
  </si>
  <si>
    <t>Move Box Outside</t>
  </si>
  <si>
    <t>Move Box to Outside Storage</t>
  </si>
  <si>
    <t xml:space="preserve">Pre Assembly </t>
  </si>
  <si>
    <t>Floor System Pre Cut Package</t>
  </si>
  <si>
    <t>Cut Joist, Cut OSB, Put in Package, Cut LVL to Length</t>
  </si>
  <si>
    <t>O,A</t>
  </si>
  <si>
    <t xml:space="preserve">Wall Building Kits </t>
  </si>
  <si>
    <t>Cut Walls for Box, Put Package Together, Organize and Label</t>
  </si>
  <si>
    <t>Measure walls for Drywall cut</t>
  </si>
  <si>
    <t>Measure all left to right dimensions, Label on floor plan drawing, number walls</t>
  </si>
  <si>
    <t>Ceiling/ Roof System Pre Cut Package</t>
  </si>
  <si>
    <t>Cut Ceiling Joist, Cut LVL's to length, cut any blocks</t>
  </si>
  <si>
    <t>Ceiling Roof System Cut and Package Drywall</t>
  </si>
  <si>
    <t>Cut and prepare drywall pile to put on material bridge with correct layout order</t>
  </si>
  <si>
    <t xml:space="preserve">Back Panel Drywall Cut </t>
  </si>
  <si>
    <t>Cut and label size and wall number that match measure floor plan drawing notes, put on cart and deliver</t>
  </si>
  <si>
    <t>Insulation Prep</t>
  </si>
  <si>
    <t>Cut Batts to length, Cut 2" Foam Blocks, Cut Floor Rim Joist Blocks, Cut Ceiling Joist Batt Blocks</t>
  </si>
  <si>
    <t>O,P</t>
  </si>
  <si>
    <t>Cut Window and Door Nailers</t>
  </si>
  <si>
    <t>Cut 2" Strips of OSB for exterior window and door nailers</t>
  </si>
  <si>
    <t>5+6</t>
  </si>
  <si>
    <t>Window Jambs &amp; Casings</t>
  </si>
  <si>
    <t>Build One Piece Window Jamb Boxes with Casing for all Windows</t>
  </si>
  <si>
    <t>H,O</t>
  </si>
  <si>
    <t>Pre Made Door Casings</t>
  </si>
  <si>
    <t>Build Pre Made Door Casings for Each Door, Casings Kits for Patio Doors</t>
  </si>
  <si>
    <t>Prep - Paint Interior / Exterior Doors</t>
  </si>
  <si>
    <t>Paint Interior Door Slabs</t>
  </si>
  <si>
    <t>Prep Bathroom Sinks</t>
  </si>
  <si>
    <t>Install Faucets in Bathroom Vanity Sinks</t>
  </si>
  <si>
    <t>K,O,P</t>
  </si>
  <si>
    <t>Ceiling Pre-Warp Spacers Cut</t>
  </si>
  <si>
    <t>Cut Siding Strip Correct Length for Ceiling Wrap, Cut Spacer Blocks</t>
  </si>
  <si>
    <t>Cut Shipping OSB for Windows / Doors</t>
  </si>
  <si>
    <t>Cut OSB for End Windows / Doors for Shipping,  Cut 2x4 for OSB to mount to</t>
  </si>
  <si>
    <t>TIME STUDIES</t>
  </si>
  <si>
    <t>Task Template Name</t>
  </si>
  <si>
    <t>Module Attributes</t>
  </si>
  <si>
    <t>Value</t>
  </si>
  <si>
    <t>Clock Time</t>
  </si>
  <si>
    <t>Laborers</t>
  </si>
  <si>
    <t>Fire Tape Exterior Fire Wall</t>
  </si>
  <si>
    <t>35, 50</t>
  </si>
  <si>
    <t xml:space="preserve">Fascia / Soffit Install </t>
  </si>
  <si>
    <t>4, 2, 0123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</si>
</sst>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, d, yyyy"/>
    <numFmt numFmtId="165" formatCode="m, d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sz val="11.0"/>
      <color theme="1"/>
      <name val="Arial"/>
      <scheme val="minor"/>
    </font>
    <font>
      <b/>
      <sz val="11.0"/>
      <color rgb="FF000000"/>
      <name val="Arial"/>
    </font>
    <font>
      <sz val="11.0"/>
      <color theme="1"/>
      <name val="Arial"/>
    </font>
    <font>
      <b/>
      <sz val="11.0"/>
      <color rgb="FF000000"/>
      <name val="&quot;Aptos Narrow&quot;"/>
    </font>
    <font>
      <b/>
      <sz val="11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vertical="bottom" wrapText="0"/>
    </xf>
    <xf borderId="1" fillId="3" fontId="4" numFmtId="0" xfId="0" applyAlignment="1" applyBorder="1" applyFill="1" applyFont="1">
      <alignment horizontal="center" readingOrder="0" shrinkToFit="0" wrapText="1"/>
    </xf>
    <xf borderId="0" fillId="2" fontId="2" numFmtId="0" xfId="0" applyFont="1"/>
    <xf borderId="1" fillId="3" fontId="3" numFmtId="0" xfId="0" applyAlignment="1" applyBorder="1" applyFont="1">
      <alignment horizontal="center" readingOrder="0" shrinkToFit="0" wrapText="1"/>
    </xf>
    <xf borderId="1" fillId="2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1" fillId="4" fontId="2" numFmtId="0" xfId="0" applyAlignment="1" applyBorder="1" applyFill="1" applyFont="1">
      <alignment readingOrder="0" shrinkToFit="0" wrapText="1"/>
    </xf>
    <xf borderId="1" fillId="4" fontId="2" numFmtId="0" xfId="0" applyAlignment="1" applyBorder="1" applyFont="1">
      <alignment horizontal="center" readingOrder="0" shrinkToFit="0" wrapText="1"/>
    </xf>
    <xf borderId="1" fillId="5" fontId="2" numFmtId="0" xfId="0" applyAlignment="1" applyBorder="1" applyFill="1" applyFont="1">
      <alignment readingOrder="0" shrinkToFit="0" wrapText="1"/>
    </xf>
    <xf borderId="1" fillId="5" fontId="5" numFmtId="0" xfId="0" applyAlignment="1" applyBorder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6" fontId="3" numFmtId="0" xfId="0" applyAlignment="1" applyFill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6" fontId="3" numFmtId="0" xfId="0" applyAlignment="1" applyFont="1">
      <alignment horizontal="center" readingOrder="0" shrinkToFit="0" vertical="bottom" wrapText="0"/>
    </xf>
    <xf borderId="0" fillId="5" fontId="3" numFmtId="0" xfId="0" applyAlignment="1" applyFont="1">
      <alignment horizontal="center" readingOrder="0" shrinkToFit="0" wrapText="1"/>
    </xf>
    <xf borderId="1" fillId="5" fontId="3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readingOrder="0" vertical="bottom"/>
    </xf>
    <xf borderId="1" fillId="0" fontId="7" numFmtId="0" xfId="0" applyAlignment="1" applyBorder="1" applyFont="1">
      <alignment readingOrder="0" vertical="bottom"/>
    </xf>
    <xf borderId="1" fillId="0" fontId="7" numFmtId="49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6" fontId="3" numFmtId="0" xfId="0" applyAlignment="1" applyBorder="1" applyFont="1">
      <alignment horizontal="center" readingOrder="0" shrinkToFit="0" vertical="bottom" wrapText="0"/>
    </xf>
    <xf borderId="1" fillId="7" fontId="3" numFmtId="0" xfId="0" applyAlignment="1" applyBorder="1" applyFill="1" applyFont="1">
      <alignment horizontal="center" readingOrder="0" shrinkToFit="0" vertical="bottom" wrapText="0"/>
    </xf>
    <xf borderId="1" fillId="0" fontId="7" numFmtId="49" xfId="0" applyAlignment="1" applyBorder="1" applyFont="1" applyNumberFormat="1">
      <alignment horizontal="right" readingOrder="0" vertical="bottom"/>
    </xf>
    <xf borderId="1" fillId="7" fontId="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 shrinkToFit="0" vertical="bottom" wrapText="1"/>
    </xf>
    <xf borderId="1" fillId="8" fontId="7" numFmtId="49" xfId="0" applyAlignment="1" applyBorder="1" applyFill="1" applyFont="1" applyNumberFormat="1">
      <alignment horizontal="right" vertical="bottom"/>
    </xf>
    <xf borderId="1" fillId="0" fontId="7" numFmtId="0" xfId="0" applyAlignment="1" applyBorder="1" applyFont="1">
      <alignment horizontal="center" readingOrder="0"/>
    </xf>
    <xf borderId="1" fillId="6" fontId="7" numFmtId="0" xfId="0" applyAlignment="1" applyBorder="1" applyFont="1">
      <alignment horizontal="center" readingOrder="0"/>
    </xf>
    <xf borderId="1" fillId="2" fontId="7" numFmtId="49" xfId="0" applyAlignment="1" applyBorder="1" applyFont="1" applyNumberFormat="1">
      <alignment horizontal="right" vertical="bottom"/>
    </xf>
    <xf borderId="1" fillId="2" fontId="7" numFmtId="0" xfId="0" applyAlignment="1" applyBorder="1" applyFont="1">
      <alignment horizontal="center" readingOrder="0"/>
    </xf>
    <xf borderId="0" fillId="0" fontId="7" numFmtId="0" xfId="0" applyFont="1"/>
    <xf borderId="0" fillId="0" fontId="7" numFmtId="0" xfId="0" applyAlignment="1" applyFont="1">
      <alignment horizontal="center"/>
    </xf>
    <xf borderId="0" fillId="6" fontId="7" numFmtId="0" xfId="0" applyAlignment="1" applyFont="1">
      <alignment horizontal="center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2" fontId="4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horizontal="center" readingOrder="0"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wrapText="1"/>
    </xf>
    <xf borderId="0" fillId="2" fontId="5" numFmtId="0" xfId="0" applyAlignment="1" applyFont="1">
      <alignment readingOrder="0"/>
    </xf>
    <xf borderId="0" fillId="2" fontId="3" numFmtId="0" xfId="0" applyAlignment="1" applyFont="1">
      <alignment readingOrder="0" shrinkToFit="0" vertical="bottom" wrapText="0"/>
    </xf>
    <xf borderId="0" fillId="2" fontId="3" numFmtId="0" xfId="0" applyAlignment="1" applyFont="1">
      <alignment readingOrder="0" shrinkToFit="0" vertical="bottom" wrapText="1"/>
    </xf>
    <xf borderId="0" fillId="2" fontId="2" numFmtId="0" xfId="0" applyAlignment="1" applyFont="1">
      <alignment readingOrder="0"/>
    </xf>
    <xf borderId="0" fillId="2" fontId="4" numFmtId="0" xfId="0" applyAlignment="1" applyFont="1">
      <alignment readingOrder="0" shrinkToFit="0" vertical="bottom" wrapText="1"/>
    </xf>
    <xf borderId="0" fillId="2" fontId="4" numFmtId="0" xfId="0" applyAlignment="1" applyFont="1">
      <alignment horizontal="center" shrinkToFit="0" vertical="bottom" wrapText="0"/>
    </xf>
    <xf borderId="0" fillId="2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7" numFmtId="0" xfId="0" applyAlignment="1" applyFont="1">
      <alignment horizontal="center" readingOrder="0"/>
    </xf>
    <xf borderId="0" fillId="2" fontId="6" numFmtId="0" xfId="0" applyAlignment="1" applyFont="1">
      <alignment horizontal="left" readingOrder="0" shrinkToFit="0" vertical="bottom" wrapText="0"/>
    </xf>
    <xf borderId="0" fillId="2" fontId="4" numFmtId="0" xfId="0" applyAlignment="1" applyFont="1">
      <alignment shrinkToFit="0" vertical="bottom" wrapText="0"/>
    </xf>
    <xf borderId="0" fillId="2" fontId="2" numFmtId="0" xfId="0" applyAlignment="1" applyFont="1">
      <alignment horizontal="center"/>
    </xf>
    <xf borderId="0" fillId="2" fontId="8" numFmtId="0" xfId="0" applyAlignment="1" applyFont="1">
      <alignment horizontal="center" readingOrder="0" shrinkToFit="0" vertical="bottom" wrapText="1"/>
    </xf>
    <xf borderId="0" fillId="2" fontId="6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2" fontId="9" numFmtId="0" xfId="0" applyAlignment="1" applyFont="1">
      <alignment readingOrder="0" shrinkToFit="0" wrapText="1"/>
    </xf>
    <xf borderId="0" fillId="2" fontId="9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center" readingOrder="0" shrinkToFit="0" wrapText="1"/>
    </xf>
    <xf borderId="0" fillId="6" fontId="4" numFmtId="0" xfId="0" applyAlignment="1" applyFont="1">
      <alignment readingOrder="0" shrinkToFit="0" vertical="bottom" wrapText="0"/>
    </xf>
    <xf borderId="0" fillId="2" fontId="5" numFmtId="0" xfId="0" applyAlignment="1" applyFont="1">
      <alignment horizontal="center" readingOrder="0"/>
    </xf>
    <xf borderId="0" fillId="0" fontId="2" numFmtId="0" xfId="0" applyFont="1"/>
    <xf borderId="0" fillId="6" fontId="3" numFmtId="0" xfId="0" applyAlignment="1" applyFont="1">
      <alignment readingOrder="0" shrinkToFit="0" vertical="bottom" wrapText="0"/>
    </xf>
    <xf borderId="0" fillId="2" fontId="2" numFmtId="0" xfId="0" applyAlignment="1" applyFont="1">
      <alignment horizontal="center" readingOrder="0"/>
    </xf>
    <xf borderId="0" fillId="9" fontId="2" numFmtId="0" xfId="0" applyAlignment="1" applyFill="1" applyFont="1">
      <alignment horizontal="center" readingOrder="0"/>
    </xf>
    <xf borderId="0" fillId="9" fontId="2" numFmtId="164" xfId="0" applyAlignment="1" applyFont="1" applyNumberFormat="1">
      <alignment horizontal="center" readingOrder="0"/>
    </xf>
    <xf borderId="0" fillId="9" fontId="2" numFmtId="165" xfId="0" applyAlignment="1" applyFont="1" applyNumberFormat="1">
      <alignment horizontal="center" readingOrder="0"/>
    </xf>
    <xf borderId="0" fillId="9" fontId="2" numFmtId="0" xfId="0" applyAlignment="1" applyFont="1">
      <alignment horizontal="center"/>
    </xf>
    <xf borderId="0" fillId="10" fontId="2" numFmtId="0" xfId="0" applyFill="1" applyFont="1"/>
    <xf borderId="0" fillId="1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752475</xdr:colOff>
      <xdr:row>61</xdr:row>
      <xdr:rowOff>133350</xdr:rowOff>
    </xdr:from>
    <xdr:ext cx="2676525" cy="456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1.63"/>
    <col customWidth="1" min="7" max="7" width="41.38"/>
  </cols>
  <sheetData>
    <row r="1">
      <c r="E1" s="1" t="s">
        <v>0</v>
      </c>
    </row>
    <row r="2">
      <c r="C2" s="2" t="s">
        <v>1</v>
      </c>
      <c r="E2" s="1" t="s">
        <v>2</v>
      </c>
      <c r="G2" s="2" t="s">
        <v>3</v>
      </c>
    </row>
    <row r="3">
      <c r="B3" s="3" t="s">
        <v>4</v>
      </c>
      <c r="C3" s="4" t="s">
        <v>5</v>
      </c>
      <c r="F3" s="5">
        <v>1.0</v>
      </c>
      <c r="G3" s="6" t="s">
        <v>6</v>
      </c>
    </row>
    <row r="4">
      <c r="B4" s="3" t="s">
        <v>7</v>
      </c>
      <c r="C4" s="4" t="s">
        <v>8</v>
      </c>
      <c r="F4" s="5">
        <v>2.0</v>
      </c>
      <c r="G4" s="6" t="s">
        <v>9</v>
      </c>
    </row>
    <row r="5">
      <c r="B5" s="3" t="s">
        <v>10</v>
      </c>
      <c r="C5" s="4" t="s">
        <v>11</v>
      </c>
      <c r="F5" s="5">
        <v>3.0</v>
      </c>
      <c r="G5" s="6" t="s">
        <v>12</v>
      </c>
    </row>
    <row r="6">
      <c r="B6" s="3" t="s">
        <v>13</v>
      </c>
      <c r="C6" s="4" t="s">
        <v>14</v>
      </c>
      <c r="D6" s="7"/>
      <c r="F6" s="5">
        <v>4.0</v>
      </c>
      <c r="G6" s="6" t="s">
        <v>15</v>
      </c>
    </row>
    <row r="7">
      <c r="B7" s="3" t="s">
        <v>16</v>
      </c>
      <c r="C7" s="4" t="s">
        <v>17</v>
      </c>
      <c r="F7" s="5">
        <v>5.0</v>
      </c>
      <c r="G7" s="6" t="s">
        <v>18</v>
      </c>
    </row>
    <row r="8">
      <c r="B8" s="3" t="s">
        <v>19</v>
      </c>
      <c r="C8" s="4" t="s">
        <v>20</v>
      </c>
      <c r="F8" s="5">
        <v>6.0</v>
      </c>
      <c r="G8" s="6" t="s">
        <v>21</v>
      </c>
    </row>
    <row r="9">
      <c r="B9" s="3" t="s">
        <v>22</v>
      </c>
      <c r="C9" s="4" t="s">
        <v>23</v>
      </c>
      <c r="F9" s="5">
        <v>7.0</v>
      </c>
      <c r="G9" s="6" t="s">
        <v>24</v>
      </c>
    </row>
    <row r="10">
      <c r="B10" s="3" t="s">
        <v>25</v>
      </c>
      <c r="C10" s="4" t="s">
        <v>26</v>
      </c>
      <c r="F10" s="5">
        <v>8.0</v>
      </c>
      <c r="G10" s="8" t="s">
        <v>27</v>
      </c>
    </row>
    <row r="11">
      <c r="B11" s="3" t="s">
        <v>28</v>
      </c>
      <c r="C11" s="4" t="s">
        <v>29</v>
      </c>
      <c r="F11" s="5">
        <v>9.0</v>
      </c>
      <c r="G11" s="6" t="s">
        <v>30</v>
      </c>
    </row>
    <row r="12">
      <c r="B12" s="3" t="s">
        <v>31</v>
      </c>
      <c r="C12" s="4" t="s">
        <v>32</v>
      </c>
      <c r="F12" s="5">
        <v>10.0</v>
      </c>
      <c r="G12" s="8" t="s">
        <v>33</v>
      </c>
    </row>
    <row r="13">
      <c r="B13" s="3" t="s">
        <v>34</v>
      </c>
      <c r="C13" s="4" t="s">
        <v>35</v>
      </c>
      <c r="F13" s="5">
        <v>11.0</v>
      </c>
      <c r="G13" s="6" t="s">
        <v>36</v>
      </c>
    </row>
    <row r="14">
      <c r="B14" s="3" t="s">
        <v>37</v>
      </c>
      <c r="C14" s="4" t="s">
        <v>38</v>
      </c>
      <c r="F14" s="5">
        <v>12.0</v>
      </c>
      <c r="G14" s="6" t="s">
        <v>39</v>
      </c>
    </row>
    <row r="15">
      <c r="B15" s="3" t="s">
        <v>40</v>
      </c>
      <c r="C15" s="4" t="s">
        <v>41</v>
      </c>
      <c r="F15" s="5">
        <v>13.0</v>
      </c>
      <c r="G15" s="6" t="s">
        <v>42</v>
      </c>
    </row>
    <row r="16">
      <c r="B16" s="3" t="s">
        <v>43</v>
      </c>
      <c r="C16" s="4" t="s">
        <v>44</v>
      </c>
      <c r="F16" s="5">
        <v>14.0</v>
      </c>
      <c r="G16" s="6" t="s">
        <v>45</v>
      </c>
    </row>
    <row r="17">
      <c r="B17" s="3" t="s">
        <v>46</v>
      </c>
      <c r="C17" s="4" t="s">
        <v>47</v>
      </c>
      <c r="F17" s="5">
        <v>15.0</v>
      </c>
      <c r="G17" s="6" t="s">
        <v>48</v>
      </c>
    </row>
    <row r="18">
      <c r="B18" s="3" t="s">
        <v>49</v>
      </c>
      <c r="C18" s="9" t="s">
        <v>50</v>
      </c>
      <c r="F18" s="5">
        <v>16.0</v>
      </c>
      <c r="G18" s="8" t="s">
        <v>51</v>
      </c>
    </row>
    <row r="19">
      <c r="F19" s="5">
        <v>17.0</v>
      </c>
      <c r="G19" s="8" t="s">
        <v>52</v>
      </c>
    </row>
    <row r="20">
      <c r="F20" s="5">
        <v>18.0</v>
      </c>
      <c r="G20" s="8" t="s">
        <v>53</v>
      </c>
    </row>
    <row r="21">
      <c r="F21" s="5">
        <v>19.0</v>
      </c>
      <c r="G21" s="8" t="s">
        <v>54</v>
      </c>
    </row>
    <row r="22">
      <c r="F22" s="5">
        <v>20.0</v>
      </c>
      <c r="G22" s="8" t="s">
        <v>55</v>
      </c>
    </row>
    <row r="23">
      <c r="F23" s="5">
        <v>21.0</v>
      </c>
      <c r="G23" s="6" t="s">
        <v>56</v>
      </c>
    </row>
    <row r="24">
      <c r="F24" s="5">
        <v>22.0</v>
      </c>
      <c r="G24" s="6" t="s">
        <v>57</v>
      </c>
    </row>
    <row r="25">
      <c r="F25" s="5">
        <f t="shared" ref="F25:F29" si="1">F24+1</f>
        <v>23</v>
      </c>
      <c r="G25" s="8" t="s">
        <v>58</v>
      </c>
    </row>
    <row r="26">
      <c r="F26" s="5">
        <f t="shared" si="1"/>
        <v>24</v>
      </c>
      <c r="G26" s="8" t="s">
        <v>59</v>
      </c>
    </row>
    <row r="27">
      <c r="F27" s="5">
        <f t="shared" si="1"/>
        <v>25</v>
      </c>
      <c r="G27" s="10" t="s">
        <v>60</v>
      </c>
    </row>
    <row r="28">
      <c r="F28" s="5">
        <f t="shared" si="1"/>
        <v>26</v>
      </c>
      <c r="G28" s="6" t="s">
        <v>61</v>
      </c>
    </row>
    <row r="29">
      <c r="F29" s="5">
        <f t="shared" si="1"/>
        <v>27</v>
      </c>
      <c r="G29" s="8" t="s">
        <v>62</v>
      </c>
    </row>
    <row r="30">
      <c r="F30" s="5">
        <v>28.0</v>
      </c>
      <c r="G30" s="8" t="s">
        <v>63</v>
      </c>
    </row>
    <row r="31">
      <c r="F31" s="5">
        <v>29.0</v>
      </c>
      <c r="G31" s="8" t="s">
        <v>64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0" max="10" width="18.38"/>
    <col customWidth="1" min="20" max="21" width="17.5"/>
    <col customWidth="1" min="31" max="33" width="12.63"/>
    <col customWidth="1" min="34" max="34" width="14.25"/>
    <col customWidth="1" min="35" max="38" width="12.63"/>
  </cols>
  <sheetData>
    <row r="1" ht="42.75" customHeight="1">
      <c r="C1" s="2" t="s">
        <v>1</v>
      </c>
      <c r="D1" s="11"/>
      <c r="E1" s="11"/>
      <c r="F1" s="11"/>
      <c r="G1" s="11"/>
      <c r="H1" s="11"/>
      <c r="I1" s="11"/>
      <c r="J1" s="3"/>
      <c r="K1" s="11"/>
      <c r="L1" s="11"/>
      <c r="M1" s="11"/>
      <c r="N1" s="11"/>
      <c r="O1" s="11"/>
      <c r="P1" s="11"/>
      <c r="Q1" s="11"/>
      <c r="T1" s="2" t="s">
        <v>65</v>
      </c>
    </row>
    <row r="2"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T2" s="2"/>
      <c r="U2" s="2"/>
    </row>
    <row r="3">
      <c r="C3" s="3" t="s">
        <v>4</v>
      </c>
      <c r="D3" s="3" t="s">
        <v>7</v>
      </c>
      <c r="E3" s="3" t="s">
        <v>10</v>
      </c>
      <c r="F3" s="3" t="s">
        <v>13</v>
      </c>
      <c r="G3" s="3" t="s">
        <v>16</v>
      </c>
      <c r="H3" s="3" t="s">
        <v>19</v>
      </c>
      <c r="I3" s="3" t="s">
        <v>22</v>
      </c>
      <c r="J3" s="3" t="s">
        <v>25</v>
      </c>
      <c r="K3" s="3" t="s">
        <v>28</v>
      </c>
      <c r="L3" s="3" t="s">
        <v>31</v>
      </c>
      <c r="M3" s="3" t="s">
        <v>34</v>
      </c>
      <c r="N3" s="3" t="s">
        <v>37</v>
      </c>
      <c r="O3" s="3" t="s">
        <v>40</v>
      </c>
      <c r="P3" s="3" t="s">
        <v>43</v>
      </c>
      <c r="Q3" s="3" t="s">
        <v>46</v>
      </c>
      <c r="R3" s="3" t="s">
        <v>49</v>
      </c>
    </row>
    <row r="4">
      <c r="A4" s="12"/>
      <c r="B4" s="13" t="s">
        <v>66</v>
      </c>
      <c r="C4" s="14" t="s">
        <v>5</v>
      </c>
      <c r="D4" s="14" t="s">
        <v>8</v>
      </c>
      <c r="E4" s="14" t="s">
        <v>11</v>
      </c>
      <c r="F4" s="14" t="s">
        <v>14</v>
      </c>
      <c r="G4" s="14" t="s">
        <v>17</v>
      </c>
      <c r="H4" s="14" t="s">
        <v>20</v>
      </c>
      <c r="I4" s="14" t="s">
        <v>23</v>
      </c>
      <c r="J4" s="14" t="s">
        <v>26</v>
      </c>
      <c r="K4" s="14" t="s">
        <v>29</v>
      </c>
      <c r="L4" s="14" t="s">
        <v>32</v>
      </c>
      <c r="M4" s="14" t="s">
        <v>35</v>
      </c>
      <c r="N4" s="14" t="s">
        <v>38</v>
      </c>
      <c r="O4" s="14" t="s">
        <v>41</v>
      </c>
      <c r="P4" s="14" t="s">
        <v>44</v>
      </c>
      <c r="Q4" s="14" t="s">
        <v>47</v>
      </c>
      <c r="R4" s="15" t="s">
        <v>50</v>
      </c>
      <c r="S4" s="12"/>
      <c r="T4" s="15" t="s">
        <v>67</v>
      </c>
      <c r="U4" s="15" t="s">
        <v>68</v>
      </c>
      <c r="V4" s="15" t="s">
        <v>69</v>
      </c>
      <c r="W4" s="15" t="s">
        <v>70</v>
      </c>
      <c r="X4" s="15" t="s">
        <v>71</v>
      </c>
      <c r="Y4" s="15" t="s">
        <v>72</v>
      </c>
      <c r="Z4" s="15" t="s">
        <v>73</v>
      </c>
      <c r="AA4" s="15"/>
      <c r="AB4" s="15"/>
      <c r="AC4" s="15"/>
      <c r="AD4" s="15"/>
      <c r="AE4" s="15"/>
      <c r="AF4" s="15"/>
      <c r="AG4" s="15"/>
      <c r="AH4" s="16"/>
      <c r="AI4" s="17"/>
      <c r="AJ4" s="17"/>
      <c r="AK4" s="17"/>
      <c r="AL4" s="17"/>
    </row>
    <row r="5">
      <c r="A5" s="3" t="s">
        <v>74</v>
      </c>
      <c r="B5" s="18" t="s">
        <v>75</v>
      </c>
      <c r="C5" s="18">
        <v>1.0</v>
      </c>
      <c r="D5" s="18">
        <v>4.0</v>
      </c>
      <c r="E5" s="19"/>
      <c r="F5" s="18"/>
      <c r="G5" s="18">
        <v>2.0</v>
      </c>
      <c r="H5" s="19"/>
      <c r="I5" s="19"/>
      <c r="J5" s="18">
        <v>3.0</v>
      </c>
      <c r="K5" s="19"/>
      <c r="L5" s="18" t="s">
        <v>76</v>
      </c>
      <c r="M5" s="18"/>
      <c r="N5" s="18">
        <v>5.0</v>
      </c>
      <c r="O5" s="19"/>
      <c r="P5" s="19"/>
      <c r="Q5" s="18">
        <v>6.0</v>
      </c>
      <c r="R5" s="20"/>
      <c r="S5" s="11"/>
      <c r="T5" s="18"/>
      <c r="U5" s="18"/>
      <c r="V5" s="19"/>
      <c r="W5" s="19"/>
      <c r="X5" s="19"/>
      <c r="Y5" s="19"/>
      <c r="Z5" s="19"/>
      <c r="AA5" s="19"/>
      <c r="AB5" s="19"/>
      <c r="AC5" s="19"/>
      <c r="AD5" s="19"/>
      <c r="AE5" s="21"/>
      <c r="AF5" s="21"/>
      <c r="AG5" s="21"/>
      <c r="AH5" s="21"/>
      <c r="AI5" s="22"/>
      <c r="AJ5" s="22"/>
      <c r="AK5" s="22"/>
      <c r="AL5" s="22"/>
    </row>
    <row r="6">
      <c r="A6" s="3" t="s">
        <v>74</v>
      </c>
      <c r="B6" s="18" t="s">
        <v>77</v>
      </c>
      <c r="C6" s="19"/>
      <c r="D6" s="18">
        <v>1.0</v>
      </c>
      <c r="E6" s="19"/>
      <c r="F6" s="19"/>
      <c r="G6" s="18" t="s">
        <v>76</v>
      </c>
      <c r="H6" s="19"/>
      <c r="I6" s="19"/>
      <c r="J6" s="18" t="s">
        <v>76</v>
      </c>
      <c r="K6" s="19"/>
      <c r="L6" s="18">
        <v>2.0</v>
      </c>
      <c r="M6" s="18"/>
      <c r="N6" s="19"/>
      <c r="O6" s="18" t="s">
        <v>76</v>
      </c>
      <c r="P6" s="19"/>
      <c r="Q6" s="19"/>
      <c r="R6" s="20"/>
      <c r="T6" s="23"/>
      <c r="U6" s="23"/>
      <c r="V6" s="20"/>
      <c r="W6" s="23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>
      <c r="B7" s="18" t="s">
        <v>78</v>
      </c>
      <c r="C7" s="19"/>
      <c r="D7" s="18"/>
      <c r="E7" s="19"/>
      <c r="F7" s="19"/>
      <c r="G7" s="19"/>
      <c r="H7" s="19"/>
      <c r="I7" s="19"/>
      <c r="J7" s="19"/>
      <c r="K7" s="19"/>
      <c r="L7" s="18"/>
      <c r="M7" s="19"/>
      <c r="N7" s="19"/>
      <c r="O7" s="19"/>
      <c r="P7" s="19"/>
      <c r="Q7" s="19"/>
      <c r="R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</row>
    <row r="8">
      <c r="B8" s="18" t="s">
        <v>79</v>
      </c>
      <c r="C8" s="19"/>
      <c r="D8" s="18"/>
      <c r="E8" s="19"/>
      <c r="F8" s="19"/>
      <c r="G8" s="19"/>
      <c r="H8" s="19"/>
      <c r="I8" s="19"/>
      <c r="J8" s="19"/>
      <c r="K8" s="19"/>
      <c r="L8" s="18"/>
      <c r="M8" s="19"/>
      <c r="N8" s="19"/>
      <c r="O8" s="19"/>
      <c r="P8" s="19"/>
      <c r="Q8" s="19"/>
      <c r="R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>
      <c r="B11" s="20"/>
      <c r="C11" s="19"/>
      <c r="D11" s="19"/>
      <c r="E11" s="18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3"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</row>
    <row r="14"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</row>
    <row r="15"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</row>
    <row r="16"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>
      <c r="B17" s="20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</row>
    <row r="18">
      <c r="B18" s="20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</row>
    <row r="19">
      <c r="B19" s="20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</row>
    <row r="20">
      <c r="B20" s="20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</row>
    <row r="21"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</row>
    <row r="22">
      <c r="B22" s="20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</row>
    <row r="23">
      <c r="B23" s="20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</row>
    <row r="24">
      <c r="B24" s="20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</row>
    <row r="25">
      <c r="B25" s="20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</row>
    <row r="26">
      <c r="B26" s="20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</row>
    <row r="27">
      <c r="B27" s="20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</row>
    <row r="28">
      <c r="B28" s="20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</row>
    <row r="29">
      <c r="B29" s="20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</row>
    <row r="30">
      <c r="B30" s="20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</row>
    <row r="31">
      <c r="B31" s="20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</row>
    <row r="32">
      <c r="B32" s="20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</row>
    <row r="33">
      <c r="B33" s="20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</row>
    <row r="34">
      <c r="B34" s="20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</row>
    <row r="35">
      <c r="B35" s="20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</row>
    <row r="36">
      <c r="B36" s="20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</row>
    <row r="37">
      <c r="B37" s="20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</row>
    <row r="38">
      <c r="B38" s="20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</row>
    <row r="39">
      <c r="B39" s="20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</row>
    <row r="40">
      <c r="B40" s="20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</row>
    <row r="41">
      <c r="B41" s="20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</row>
    <row r="42">
      <c r="B42" s="20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</row>
    <row r="43">
      <c r="B43" s="20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</row>
    <row r="44">
      <c r="B44" s="20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</row>
    <row r="45">
      <c r="B45" s="20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</row>
    <row r="46">
      <c r="B46" s="20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</row>
    <row r="47">
      <c r="B47" s="20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</row>
    <row r="48">
      <c r="B48" s="20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</row>
    <row r="49">
      <c r="B49" s="20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</row>
    <row r="50"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>
      <c r="B51" s="20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</row>
    <row r="52">
      <c r="B52" s="20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</row>
    <row r="53">
      <c r="B53" s="20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</row>
    <row r="54">
      <c r="B54" s="20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</row>
    <row r="55">
      <c r="B55" s="20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</row>
    <row r="56">
      <c r="B56" s="20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</row>
    <row r="57">
      <c r="B57" s="20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</row>
    <row r="58">
      <c r="B58" s="20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</row>
    <row r="59">
      <c r="B59" s="20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</row>
    <row r="60">
      <c r="B60" s="20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</row>
    <row r="61">
      <c r="B61" s="20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</row>
    <row r="62">
      <c r="B62" s="20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</row>
    <row r="63"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  <row r="822"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</row>
    <row r="823"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</row>
    <row r="824"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</row>
    <row r="825"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</row>
    <row r="826"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</row>
    <row r="827"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</row>
    <row r="828"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</row>
    <row r="829"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</row>
    <row r="830"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</row>
    <row r="831"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</row>
    <row r="834"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</row>
    <row r="835"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</row>
    <row r="836"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</row>
    <row r="837"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</row>
    <row r="838"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</row>
    <row r="839"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</row>
    <row r="840"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</row>
    <row r="842"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</row>
    <row r="843"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</row>
    <row r="844"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</row>
    <row r="845"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</row>
    <row r="846"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</row>
    <row r="847"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</row>
    <row r="848"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</row>
    <row r="855"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</row>
    <row r="856"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</row>
    <row r="857"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</row>
    <row r="861"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</row>
    <row r="862"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</row>
    <row r="863"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</row>
    <row r="864"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</row>
    <row r="866"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</row>
    <row r="867"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</row>
    <row r="868"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</row>
    <row r="869"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</row>
    <row r="870"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</row>
    <row r="871"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</row>
    <row r="872"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</row>
    <row r="873"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</row>
    <row r="874"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</row>
    <row r="875"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</row>
    <row r="876"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</row>
    <row r="877"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</row>
    <row r="878"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</row>
    <row r="879"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</row>
    <row r="880"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</row>
    <row r="881"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</row>
    <row r="882"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</row>
    <row r="883"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</row>
    <row r="884"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</row>
    <row r="885"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</row>
    <row r="886"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</row>
    <row r="887"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</row>
    <row r="888"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</row>
    <row r="890"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</row>
    <row r="891"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</row>
    <row r="892"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</row>
    <row r="893"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</row>
    <row r="895"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</row>
    <row r="896"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</row>
    <row r="897"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</row>
    <row r="898"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</row>
    <row r="899"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</row>
    <row r="900"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</row>
    <row r="901"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</row>
    <row r="902"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</row>
    <row r="903"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</row>
    <row r="904"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</row>
    <row r="905"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</row>
    <row r="906"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</row>
    <row r="907"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</row>
    <row r="908"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</row>
    <row r="909"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</row>
    <row r="910"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</row>
    <row r="911"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</row>
    <row r="912"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</row>
    <row r="913"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</row>
    <row r="914"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</row>
    <row r="915"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</row>
    <row r="916"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</row>
    <row r="917"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</row>
    <row r="918"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</row>
    <row r="919"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</row>
    <row r="920"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</row>
    <row r="921"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</row>
    <row r="922"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</row>
    <row r="923"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</row>
    <row r="924"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</row>
    <row r="925"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</row>
    <row r="926"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</row>
    <row r="927"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</row>
    <row r="928"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</row>
    <row r="929"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</row>
    <row r="930"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</row>
    <row r="931"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</row>
    <row r="932"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</row>
    <row r="933"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</row>
    <row r="934"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</row>
    <row r="935"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</row>
    <row r="936"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</row>
    <row r="937"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</row>
    <row r="938"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</row>
    <row r="939"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</row>
    <row r="940"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</row>
    <row r="941"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</row>
    <row r="942"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</row>
    <row r="943"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</row>
    <row r="944"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</row>
    <row r="945"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</row>
    <row r="946"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</row>
    <row r="947"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</row>
    <row r="948"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</row>
    <row r="949"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</row>
    <row r="950"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</row>
    <row r="951"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</row>
    <row r="952"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</row>
    <row r="953"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</row>
    <row r="954"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</row>
    <row r="955"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</row>
    <row r="956"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</row>
    <row r="957"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</row>
    <row r="958"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</row>
    <row r="959"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</row>
    <row r="960"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</row>
    <row r="961"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</row>
    <row r="962"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</row>
    <row r="963"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</row>
    <row r="964"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</row>
    <row r="965"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</row>
    <row r="966"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</row>
    <row r="967"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</row>
    <row r="968"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</row>
    <row r="969"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</row>
    <row r="970"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</row>
    <row r="971"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</row>
    <row r="972"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</row>
    <row r="973"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</row>
    <row r="974"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</row>
    <row r="975"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</row>
    <row r="976"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</row>
    <row r="977"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</row>
    <row r="978"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</row>
    <row r="979"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</row>
    <row r="980"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</row>
    <row r="981"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</row>
    <row r="982"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</row>
    <row r="983"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</row>
    <row r="984"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</row>
    <row r="985"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</row>
    <row r="986"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</row>
    <row r="987"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</row>
    <row r="988"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</row>
    <row r="989"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</row>
    <row r="990"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</row>
    <row r="991"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</row>
    <row r="992"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</row>
    <row r="993"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</row>
    <row r="994"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</row>
    <row r="995"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</row>
    <row r="996"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</row>
    <row r="997"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</row>
    <row r="998"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</row>
    <row r="999"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</row>
    <row r="1000"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1" max="1" width="13.88"/>
    <col customWidth="1" min="2" max="2" width="21.63"/>
    <col customWidth="1" min="3" max="3" width="20.75"/>
    <col customWidth="1" min="4" max="6" width="14.63"/>
    <col customWidth="1" min="7" max="7" width="11.13"/>
    <col customWidth="1" min="8" max="8" width="18.63"/>
    <col customWidth="1" min="9" max="13" width="14.63"/>
    <col customWidth="1" min="14" max="14" width="18.38"/>
    <col customWidth="1" min="15" max="19" width="14.63"/>
    <col customWidth="1" min="20" max="20" width="16.38"/>
    <col customWidth="1" min="21" max="21" width="16.88"/>
    <col customWidth="1" min="22" max="33" width="14.63"/>
  </cols>
  <sheetData>
    <row r="1" ht="35.25" customHeight="1">
      <c r="A1" s="24"/>
      <c r="B1" s="24"/>
      <c r="C1" s="25"/>
      <c r="E1" s="26" t="s">
        <v>80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5"/>
      <c r="R1" s="25"/>
      <c r="S1" s="25"/>
      <c r="T1" s="25"/>
      <c r="U1" s="25"/>
      <c r="V1" s="25"/>
      <c r="W1" s="27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ht="30.75" customHeight="1">
      <c r="A2" s="28"/>
      <c r="B2" s="28"/>
      <c r="C2" s="25"/>
      <c r="D2" s="5"/>
    </row>
    <row r="3">
      <c r="A3" s="28"/>
      <c r="B3" s="28"/>
      <c r="C3" s="25"/>
      <c r="D3" s="25"/>
      <c r="E3" s="5">
        <v>1.0</v>
      </c>
      <c r="F3" s="5">
        <v>2.0</v>
      </c>
      <c r="G3" s="5">
        <v>3.0</v>
      </c>
      <c r="H3" s="5">
        <v>4.0</v>
      </c>
      <c r="I3" s="5">
        <v>5.0</v>
      </c>
      <c r="J3" s="5">
        <v>6.0</v>
      </c>
      <c r="K3" s="5">
        <v>7.0</v>
      </c>
      <c r="L3" s="5">
        <v>8.0</v>
      </c>
      <c r="M3" s="5">
        <v>9.0</v>
      </c>
      <c r="N3" s="5">
        <v>10.0</v>
      </c>
      <c r="O3" s="5">
        <v>11.0</v>
      </c>
      <c r="P3" s="5">
        <v>12.0</v>
      </c>
      <c r="Q3" s="5">
        <v>13.0</v>
      </c>
      <c r="R3" s="5">
        <v>14.0</v>
      </c>
      <c r="S3" s="5">
        <v>15.0</v>
      </c>
      <c r="T3" s="5">
        <v>16.0</v>
      </c>
      <c r="U3" s="5">
        <v>17.0</v>
      </c>
      <c r="V3" s="5">
        <v>18.0</v>
      </c>
      <c r="W3" s="29">
        <v>19.0</v>
      </c>
      <c r="X3" s="5">
        <v>20.0</v>
      </c>
      <c r="Y3" s="5">
        <v>21.0</v>
      </c>
      <c r="Z3" s="5">
        <v>22.0</v>
      </c>
      <c r="AA3" s="5">
        <f t="shared" ref="AA3:AE3" si="1">Z3+1</f>
        <v>23</v>
      </c>
      <c r="AB3" s="5">
        <f t="shared" si="1"/>
        <v>24</v>
      </c>
      <c r="AC3" s="5">
        <f t="shared" si="1"/>
        <v>25</v>
      </c>
      <c r="AD3" s="5">
        <f t="shared" si="1"/>
        <v>26</v>
      </c>
      <c r="AE3" s="5">
        <f t="shared" si="1"/>
        <v>27</v>
      </c>
      <c r="AF3" s="5">
        <v>28.0</v>
      </c>
      <c r="AG3" s="5">
        <v>29.0</v>
      </c>
    </row>
    <row r="4" ht="51.0" customHeight="1">
      <c r="A4" s="30" t="s">
        <v>81</v>
      </c>
      <c r="B4" s="31" t="s">
        <v>82</v>
      </c>
      <c r="C4" s="8" t="s">
        <v>83</v>
      </c>
      <c r="D4" s="8" t="s">
        <v>84</v>
      </c>
      <c r="E4" s="6" t="s">
        <v>6</v>
      </c>
      <c r="F4" s="6" t="s">
        <v>9</v>
      </c>
      <c r="G4" s="6" t="s">
        <v>12</v>
      </c>
      <c r="H4" s="6" t="s">
        <v>15</v>
      </c>
      <c r="I4" s="6" t="s">
        <v>18</v>
      </c>
      <c r="J4" s="6" t="s">
        <v>21</v>
      </c>
      <c r="K4" s="6" t="s">
        <v>24</v>
      </c>
      <c r="L4" s="8" t="s">
        <v>27</v>
      </c>
      <c r="M4" s="6" t="s">
        <v>30</v>
      </c>
      <c r="N4" s="8" t="s">
        <v>33</v>
      </c>
      <c r="O4" s="6" t="s">
        <v>36</v>
      </c>
      <c r="P4" s="6" t="s">
        <v>39</v>
      </c>
      <c r="Q4" s="6" t="s">
        <v>42</v>
      </c>
      <c r="R4" s="6" t="s">
        <v>45</v>
      </c>
      <c r="S4" s="6" t="s">
        <v>48</v>
      </c>
      <c r="T4" s="8" t="s">
        <v>51</v>
      </c>
      <c r="U4" s="8" t="s">
        <v>52</v>
      </c>
      <c r="V4" s="8" t="s">
        <v>53</v>
      </c>
      <c r="W4" s="8" t="s">
        <v>54</v>
      </c>
      <c r="X4" s="8" t="s">
        <v>85</v>
      </c>
      <c r="Y4" s="6" t="s">
        <v>56</v>
      </c>
      <c r="Z4" s="6" t="s">
        <v>57</v>
      </c>
      <c r="AA4" s="8" t="s">
        <v>58</v>
      </c>
      <c r="AB4" s="8" t="s">
        <v>59</v>
      </c>
      <c r="AC4" s="10" t="s">
        <v>60</v>
      </c>
      <c r="AD4" s="6" t="s">
        <v>61</v>
      </c>
      <c r="AE4" s="8" t="s">
        <v>62</v>
      </c>
      <c r="AF4" s="8" t="s">
        <v>63</v>
      </c>
      <c r="AG4" s="8" t="s">
        <v>64</v>
      </c>
    </row>
    <row r="5">
      <c r="A5" s="32" t="s">
        <v>86</v>
      </c>
      <c r="B5" s="33" t="s">
        <v>87</v>
      </c>
      <c r="C5" s="34" t="s">
        <v>88</v>
      </c>
      <c r="D5" s="35" t="s">
        <v>89</v>
      </c>
      <c r="E5" s="35">
        <v>29.0</v>
      </c>
      <c r="F5" s="35">
        <v>16.0</v>
      </c>
      <c r="G5" s="35">
        <f t="shared" ref="G5:G11" si="2">E5*F5</f>
        <v>464</v>
      </c>
      <c r="H5" s="35">
        <v>28.0</v>
      </c>
      <c r="I5" s="35">
        <v>4.0</v>
      </c>
      <c r="J5" s="35">
        <v>3.0</v>
      </c>
      <c r="K5" s="35">
        <v>464.0</v>
      </c>
      <c r="L5" s="36">
        <v>0.0</v>
      </c>
      <c r="M5" s="35">
        <v>45.0</v>
      </c>
      <c r="N5" s="35">
        <v>5.0</v>
      </c>
      <c r="O5" s="35">
        <v>0.0</v>
      </c>
      <c r="P5" s="35">
        <v>90.0</v>
      </c>
      <c r="Q5" s="35">
        <v>16.0</v>
      </c>
      <c r="R5" s="35">
        <v>28.0</v>
      </c>
      <c r="S5" s="35">
        <v>5.0</v>
      </c>
      <c r="T5" s="35">
        <v>29.0</v>
      </c>
      <c r="U5" s="35">
        <v>29.0</v>
      </c>
      <c r="V5" s="35">
        <f t="shared" ref="V5:V73" si="3">(P5+R5)</f>
        <v>118</v>
      </c>
      <c r="W5" s="37">
        <v>1.0</v>
      </c>
      <c r="X5" s="35">
        <v>0.0</v>
      </c>
      <c r="Y5" s="35">
        <v>45.0</v>
      </c>
      <c r="Z5" s="35">
        <v>5.0</v>
      </c>
      <c r="AA5" s="35">
        <v>0.0</v>
      </c>
      <c r="AB5" s="35">
        <v>0.0</v>
      </c>
      <c r="AC5" s="35">
        <v>0.0</v>
      </c>
      <c r="AD5" s="35">
        <v>0.0</v>
      </c>
      <c r="AE5" s="38">
        <v>840.0</v>
      </c>
      <c r="AF5" s="35">
        <v>2.0</v>
      </c>
      <c r="AG5" s="35">
        <v>1.0</v>
      </c>
    </row>
    <row r="6">
      <c r="A6" s="32" t="s">
        <v>86</v>
      </c>
      <c r="B6" s="33" t="s">
        <v>90</v>
      </c>
      <c r="C6" s="39" t="s">
        <v>91</v>
      </c>
      <c r="D6" s="35" t="s">
        <v>89</v>
      </c>
      <c r="E6" s="35">
        <v>29.0</v>
      </c>
      <c r="F6" s="35">
        <v>16.0</v>
      </c>
      <c r="G6" s="35">
        <f t="shared" si="2"/>
        <v>464</v>
      </c>
      <c r="H6" s="35">
        <v>3.0</v>
      </c>
      <c r="I6" s="35">
        <v>5.0</v>
      </c>
      <c r="J6" s="35">
        <v>5.0</v>
      </c>
      <c r="K6" s="35">
        <v>0.0</v>
      </c>
      <c r="L6" s="36">
        <v>464.0</v>
      </c>
      <c r="M6" s="35">
        <v>34.0</v>
      </c>
      <c r="N6" s="35">
        <v>4.0</v>
      </c>
      <c r="O6" s="35">
        <v>1.0</v>
      </c>
      <c r="P6" s="35">
        <v>90.0</v>
      </c>
      <c r="Q6" s="35">
        <v>45.0</v>
      </c>
      <c r="R6" s="35">
        <v>46.0</v>
      </c>
      <c r="S6" s="35">
        <v>8.0</v>
      </c>
      <c r="T6" s="35">
        <v>0.0</v>
      </c>
      <c r="U6" s="35">
        <v>0.0</v>
      </c>
      <c r="V6" s="35">
        <f t="shared" si="3"/>
        <v>136</v>
      </c>
      <c r="W6" s="37">
        <v>1.0</v>
      </c>
      <c r="X6" s="35">
        <v>0.0</v>
      </c>
      <c r="Y6" s="35">
        <v>15.0</v>
      </c>
      <c r="Z6" s="35">
        <v>2.0</v>
      </c>
      <c r="AA6" s="35">
        <v>960.0</v>
      </c>
      <c r="AB6" s="35">
        <v>960.0</v>
      </c>
      <c r="AC6" s="35">
        <v>960.0</v>
      </c>
      <c r="AD6" s="35">
        <v>90.0</v>
      </c>
      <c r="AE6" s="40"/>
      <c r="AF6" s="35">
        <v>1.0</v>
      </c>
      <c r="AG6" s="35">
        <v>1.0</v>
      </c>
    </row>
    <row r="7">
      <c r="A7" s="32" t="s">
        <v>86</v>
      </c>
      <c r="B7" s="33" t="s">
        <v>92</v>
      </c>
      <c r="C7" s="39" t="s">
        <v>93</v>
      </c>
      <c r="D7" s="35" t="s">
        <v>89</v>
      </c>
      <c r="E7" s="35">
        <v>29.0</v>
      </c>
      <c r="F7" s="35">
        <v>16.0</v>
      </c>
      <c r="G7" s="35">
        <f t="shared" si="2"/>
        <v>464</v>
      </c>
      <c r="H7" s="35">
        <v>28.0</v>
      </c>
      <c r="I7" s="35">
        <v>5.0</v>
      </c>
      <c r="J7" s="35">
        <v>5.0</v>
      </c>
      <c r="K7" s="35">
        <v>464.0</v>
      </c>
      <c r="L7" s="36">
        <v>0.0</v>
      </c>
      <c r="M7" s="35">
        <v>45.0</v>
      </c>
      <c r="N7" s="35">
        <v>6.0</v>
      </c>
      <c r="O7" s="35">
        <v>1.0</v>
      </c>
      <c r="P7" s="35">
        <v>90.0</v>
      </c>
      <c r="Q7" s="35">
        <v>45.0</v>
      </c>
      <c r="R7" s="35">
        <v>31.0</v>
      </c>
      <c r="S7" s="35">
        <v>8.0</v>
      </c>
      <c r="T7" s="35">
        <v>29.0</v>
      </c>
      <c r="U7" s="35">
        <v>29.0</v>
      </c>
      <c r="V7" s="35">
        <f t="shared" si="3"/>
        <v>121</v>
      </c>
      <c r="W7" s="37">
        <v>1.0</v>
      </c>
      <c r="X7" s="35">
        <v>0.0</v>
      </c>
      <c r="Y7" s="35">
        <v>13.0</v>
      </c>
      <c r="Z7" s="35">
        <v>7.0</v>
      </c>
      <c r="AA7" s="35">
        <v>960.0</v>
      </c>
      <c r="AB7" s="35">
        <v>960.0</v>
      </c>
      <c r="AC7" s="35">
        <v>960.0</v>
      </c>
      <c r="AD7" s="35">
        <v>184.0</v>
      </c>
      <c r="AE7" s="38">
        <v>471.0</v>
      </c>
      <c r="AF7" s="35">
        <v>2.0</v>
      </c>
      <c r="AG7" s="35">
        <v>0.0</v>
      </c>
    </row>
    <row r="8">
      <c r="A8" s="32" t="s">
        <v>86</v>
      </c>
      <c r="B8" s="33" t="s">
        <v>87</v>
      </c>
      <c r="C8" s="39" t="s">
        <v>94</v>
      </c>
      <c r="D8" s="35" t="s">
        <v>89</v>
      </c>
      <c r="E8" s="35">
        <v>29.0</v>
      </c>
      <c r="F8" s="35">
        <v>16.0</v>
      </c>
      <c r="G8" s="35">
        <f t="shared" si="2"/>
        <v>464</v>
      </c>
      <c r="H8" s="35">
        <v>28.0</v>
      </c>
      <c r="I8" s="35">
        <v>4.0</v>
      </c>
      <c r="J8" s="35">
        <v>3.0</v>
      </c>
      <c r="K8" s="35">
        <v>464.0</v>
      </c>
      <c r="L8" s="36">
        <v>0.0</v>
      </c>
      <c r="M8" s="35">
        <v>45.0</v>
      </c>
      <c r="N8" s="35">
        <v>5.0</v>
      </c>
      <c r="O8" s="35">
        <v>0.0</v>
      </c>
      <c r="P8" s="35">
        <v>90.0</v>
      </c>
      <c r="Q8" s="35">
        <v>16.0</v>
      </c>
      <c r="R8" s="35">
        <v>28.0</v>
      </c>
      <c r="S8" s="35">
        <v>5.0</v>
      </c>
      <c r="T8" s="35">
        <v>29.0</v>
      </c>
      <c r="U8" s="35">
        <v>29.0</v>
      </c>
      <c r="V8" s="35">
        <f t="shared" si="3"/>
        <v>118</v>
      </c>
      <c r="W8" s="37">
        <v>1.0</v>
      </c>
      <c r="X8" s="35">
        <v>0.0</v>
      </c>
      <c r="Y8" s="35">
        <v>45.0</v>
      </c>
      <c r="Z8" s="35">
        <v>5.0</v>
      </c>
      <c r="AA8" s="35">
        <v>0.0</v>
      </c>
      <c r="AB8" s="35">
        <v>0.0</v>
      </c>
      <c r="AC8" s="35">
        <v>0.0</v>
      </c>
      <c r="AD8" s="35">
        <v>0.0</v>
      </c>
      <c r="AE8" s="38">
        <v>840.0</v>
      </c>
      <c r="AF8" s="35">
        <v>2.0</v>
      </c>
      <c r="AG8" s="35">
        <v>1.0</v>
      </c>
    </row>
    <row r="9">
      <c r="A9" s="32" t="s">
        <v>86</v>
      </c>
      <c r="B9" s="33" t="s">
        <v>95</v>
      </c>
      <c r="C9" s="39" t="s">
        <v>96</v>
      </c>
      <c r="D9" s="35" t="s">
        <v>89</v>
      </c>
      <c r="E9" s="35">
        <v>29.0</v>
      </c>
      <c r="F9" s="35">
        <v>16.0</v>
      </c>
      <c r="G9" s="35">
        <f t="shared" si="2"/>
        <v>464</v>
      </c>
      <c r="H9" s="35">
        <v>3.0</v>
      </c>
      <c r="I9" s="35">
        <v>5.0</v>
      </c>
      <c r="J9" s="35">
        <v>5.0</v>
      </c>
      <c r="K9" s="35">
        <v>0.0</v>
      </c>
      <c r="L9" s="36">
        <v>464.0</v>
      </c>
      <c r="M9" s="35">
        <v>34.0</v>
      </c>
      <c r="N9" s="35">
        <v>4.0</v>
      </c>
      <c r="O9" s="35">
        <v>1.0</v>
      </c>
      <c r="P9" s="35">
        <v>90.0</v>
      </c>
      <c r="Q9" s="35">
        <v>45.0</v>
      </c>
      <c r="R9" s="35">
        <v>46.0</v>
      </c>
      <c r="S9" s="35">
        <v>8.0</v>
      </c>
      <c r="T9" s="35">
        <v>0.0</v>
      </c>
      <c r="U9" s="35">
        <v>0.0</v>
      </c>
      <c r="V9" s="35">
        <f t="shared" si="3"/>
        <v>136</v>
      </c>
      <c r="W9" s="37">
        <v>1.0</v>
      </c>
      <c r="X9" s="35">
        <v>0.0</v>
      </c>
      <c r="Y9" s="35">
        <v>15.0</v>
      </c>
      <c r="Z9" s="35">
        <v>2.0</v>
      </c>
      <c r="AA9" s="35">
        <v>960.0</v>
      </c>
      <c r="AB9" s="35">
        <v>960.0</v>
      </c>
      <c r="AC9" s="35">
        <v>960.0</v>
      </c>
      <c r="AD9" s="35">
        <v>90.0</v>
      </c>
      <c r="AE9" s="40"/>
      <c r="AF9" s="35">
        <v>1.0</v>
      </c>
      <c r="AG9" s="35">
        <v>1.0</v>
      </c>
    </row>
    <row r="10">
      <c r="A10" s="32" t="s">
        <v>86</v>
      </c>
      <c r="B10" s="33" t="s">
        <v>92</v>
      </c>
      <c r="C10" s="39" t="s">
        <v>97</v>
      </c>
      <c r="D10" s="35" t="s">
        <v>89</v>
      </c>
      <c r="E10" s="35">
        <v>29.0</v>
      </c>
      <c r="F10" s="35">
        <v>16.0</v>
      </c>
      <c r="G10" s="35">
        <f t="shared" si="2"/>
        <v>464</v>
      </c>
      <c r="H10" s="35">
        <v>28.0</v>
      </c>
      <c r="I10" s="35">
        <v>5.0</v>
      </c>
      <c r="J10" s="35">
        <v>5.0</v>
      </c>
      <c r="K10" s="35">
        <v>464.0</v>
      </c>
      <c r="L10" s="36">
        <v>0.0</v>
      </c>
      <c r="M10" s="35">
        <v>45.0</v>
      </c>
      <c r="N10" s="35">
        <v>6.0</v>
      </c>
      <c r="O10" s="35">
        <v>1.0</v>
      </c>
      <c r="P10" s="35">
        <v>90.0</v>
      </c>
      <c r="Q10" s="35">
        <v>45.0</v>
      </c>
      <c r="R10" s="35">
        <v>31.0</v>
      </c>
      <c r="S10" s="35">
        <v>8.0</v>
      </c>
      <c r="T10" s="35">
        <v>29.0</v>
      </c>
      <c r="U10" s="35">
        <v>29.0</v>
      </c>
      <c r="V10" s="35">
        <f t="shared" si="3"/>
        <v>121</v>
      </c>
      <c r="W10" s="37">
        <v>1.0</v>
      </c>
      <c r="X10" s="35">
        <v>0.0</v>
      </c>
      <c r="Y10" s="35">
        <v>13.0</v>
      </c>
      <c r="Z10" s="35">
        <v>7.0</v>
      </c>
      <c r="AA10" s="35">
        <v>960.0</v>
      </c>
      <c r="AB10" s="35">
        <v>960.0</v>
      </c>
      <c r="AC10" s="35">
        <v>960.0</v>
      </c>
      <c r="AD10" s="35">
        <v>184.0</v>
      </c>
      <c r="AE10" s="38">
        <v>471.0</v>
      </c>
      <c r="AF10" s="35">
        <v>2.0</v>
      </c>
      <c r="AG10" s="35">
        <v>0.0</v>
      </c>
    </row>
    <row r="11">
      <c r="A11" s="32" t="s">
        <v>98</v>
      </c>
      <c r="B11" s="33" t="s">
        <v>99</v>
      </c>
      <c r="C11" s="34" t="s">
        <v>100</v>
      </c>
      <c r="D11" s="35" t="s">
        <v>89</v>
      </c>
      <c r="E11" s="35">
        <v>35.0</v>
      </c>
      <c r="F11" s="35">
        <v>13.0</v>
      </c>
      <c r="G11" s="35">
        <f t="shared" si="2"/>
        <v>455</v>
      </c>
      <c r="H11" s="35">
        <v>3.0</v>
      </c>
      <c r="I11" s="41">
        <v>8.0</v>
      </c>
      <c r="J11" s="41">
        <v>2.0</v>
      </c>
      <c r="K11" s="41">
        <v>455.0</v>
      </c>
      <c r="L11" s="36">
        <v>0.0</v>
      </c>
      <c r="M11" s="35">
        <v>35.0</v>
      </c>
      <c r="N11" s="35">
        <v>4.0</v>
      </c>
      <c r="O11" s="35">
        <v>1.0</v>
      </c>
      <c r="P11" s="35">
        <v>96.0</v>
      </c>
      <c r="Q11" s="35">
        <v>13.0</v>
      </c>
      <c r="R11" s="35">
        <v>61.0</v>
      </c>
      <c r="S11" s="35">
        <v>10.0</v>
      </c>
      <c r="T11" s="35">
        <v>13.0</v>
      </c>
      <c r="U11" s="35">
        <v>13.0</v>
      </c>
      <c r="V11" s="35">
        <f t="shared" si="3"/>
        <v>157</v>
      </c>
      <c r="W11" s="37">
        <v>2.0</v>
      </c>
      <c r="X11" s="35">
        <v>1.0</v>
      </c>
      <c r="Y11" s="36">
        <v>20.0</v>
      </c>
      <c r="Z11" s="35">
        <v>2.0</v>
      </c>
      <c r="AA11" s="35">
        <v>0.0</v>
      </c>
      <c r="AB11" s="35">
        <v>0.0</v>
      </c>
      <c r="AC11" s="35">
        <v>0.0</v>
      </c>
      <c r="AD11" s="35">
        <v>0.0</v>
      </c>
      <c r="AE11" s="35">
        <v>0.0</v>
      </c>
      <c r="AF11" s="35">
        <v>1.0</v>
      </c>
      <c r="AG11" s="35">
        <v>0.0</v>
      </c>
    </row>
    <row r="12">
      <c r="A12" s="32" t="s">
        <v>98</v>
      </c>
      <c r="B12" s="33" t="s">
        <v>99</v>
      </c>
      <c r="C12" s="34" t="s">
        <v>101</v>
      </c>
      <c r="D12" s="35" t="s">
        <v>89</v>
      </c>
      <c r="E12" s="35">
        <v>35.0</v>
      </c>
      <c r="F12" s="35">
        <v>13.0</v>
      </c>
      <c r="G12" s="35">
        <v>455.0</v>
      </c>
      <c r="H12" s="35">
        <v>40.0</v>
      </c>
      <c r="I12" s="35">
        <v>2.0</v>
      </c>
      <c r="J12" s="35">
        <v>1.0</v>
      </c>
      <c r="K12" s="35">
        <v>455.0</v>
      </c>
      <c r="L12" s="36">
        <v>0.0</v>
      </c>
      <c r="M12" s="35">
        <v>33.0</v>
      </c>
      <c r="N12" s="35">
        <v>2.0</v>
      </c>
      <c r="O12" s="35">
        <v>0.0</v>
      </c>
      <c r="P12" s="35">
        <v>96.0</v>
      </c>
      <c r="Q12" s="35">
        <v>13.0</v>
      </c>
      <c r="R12" s="35">
        <v>0.0</v>
      </c>
      <c r="S12" s="35">
        <v>0.0</v>
      </c>
      <c r="T12" s="35">
        <v>35.0</v>
      </c>
      <c r="U12" s="35">
        <v>35.0</v>
      </c>
      <c r="V12" s="35">
        <f t="shared" si="3"/>
        <v>96</v>
      </c>
      <c r="W12" s="37">
        <v>1.0</v>
      </c>
      <c r="X12" s="35">
        <v>0.0</v>
      </c>
      <c r="Y12" s="36">
        <v>0.0</v>
      </c>
      <c r="Z12" s="35">
        <v>4.0</v>
      </c>
      <c r="AA12" s="35">
        <v>0.0</v>
      </c>
      <c r="AB12" s="35">
        <v>0.0</v>
      </c>
      <c r="AC12" s="35">
        <v>0.0</v>
      </c>
      <c r="AD12" s="35">
        <v>0.0</v>
      </c>
      <c r="AE12" s="35">
        <v>0.0</v>
      </c>
      <c r="AF12" s="35">
        <v>1.0</v>
      </c>
      <c r="AG12" s="35">
        <v>0.0</v>
      </c>
    </row>
    <row r="13">
      <c r="A13" s="32" t="s">
        <v>98</v>
      </c>
      <c r="B13" s="33" t="s">
        <v>99</v>
      </c>
      <c r="C13" s="34" t="s">
        <v>102</v>
      </c>
      <c r="D13" s="35" t="s">
        <v>89</v>
      </c>
      <c r="E13" s="35">
        <v>35.0</v>
      </c>
      <c r="F13" s="35">
        <v>13.0</v>
      </c>
      <c r="G13" s="35">
        <v>455.0</v>
      </c>
      <c r="H13" s="35">
        <v>40.0</v>
      </c>
      <c r="I13" s="35">
        <v>2.0</v>
      </c>
      <c r="J13" s="35">
        <v>1.0</v>
      </c>
      <c r="K13" s="35">
        <v>455.0</v>
      </c>
      <c r="L13" s="36">
        <v>0.0</v>
      </c>
      <c r="M13" s="35">
        <v>33.0</v>
      </c>
      <c r="N13" s="35">
        <v>2.0</v>
      </c>
      <c r="O13" s="35">
        <v>0.0</v>
      </c>
      <c r="P13" s="35">
        <v>96.0</v>
      </c>
      <c r="Q13" s="35">
        <v>13.0</v>
      </c>
      <c r="R13" s="35">
        <v>0.0</v>
      </c>
      <c r="S13" s="35">
        <v>0.0</v>
      </c>
      <c r="T13" s="35">
        <v>35.0</v>
      </c>
      <c r="U13" s="35">
        <v>35.0</v>
      </c>
      <c r="V13" s="35">
        <f t="shared" si="3"/>
        <v>96</v>
      </c>
      <c r="W13" s="37">
        <v>1.0</v>
      </c>
      <c r="X13" s="35">
        <v>0.0</v>
      </c>
      <c r="Y13" s="36">
        <v>0.0</v>
      </c>
      <c r="Z13" s="35">
        <v>4.0</v>
      </c>
      <c r="AA13" s="35">
        <v>0.0</v>
      </c>
      <c r="AB13" s="35">
        <v>0.0</v>
      </c>
      <c r="AC13" s="35">
        <v>0.0</v>
      </c>
      <c r="AD13" s="35">
        <v>0.0</v>
      </c>
      <c r="AE13" s="35">
        <v>0.0</v>
      </c>
      <c r="AF13" s="35">
        <v>1.0</v>
      </c>
      <c r="AG13" s="35">
        <v>0.0</v>
      </c>
    </row>
    <row r="14">
      <c r="A14" s="32" t="s">
        <v>98</v>
      </c>
      <c r="B14" s="33" t="s">
        <v>99</v>
      </c>
      <c r="C14" s="42" t="s">
        <v>103</v>
      </c>
      <c r="D14" s="36" t="s">
        <v>89</v>
      </c>
      <c r="E14" s="36">
        <v>30.0</v>
      </c>
      <c r="F14" s="36">
        <v>13.0</v>
      </c>
      <c r="G14" s="36">
        <v>390.0</v>
      </c>
      <c r="H14" s="36">
        <v>3.0</v>
      </c>
      <c r="I14" s="36">
        <v>7.0</v>
      </c>
      <c r="J14" s="36">
        <v>5.0</v>
      </c>
      <c r="K14" s="36">
        <v>390.0</v>
      </c>
      <c r="L14" s="36">
        <v>0.0</v>
      </c>
      <c r="M14" s="36">
        <v>28.0</v>
      </c>
      <c r="N14" s="36">
        <v>4.0</v>
      </c>
      <c r="O14" s="36">
        <v>1.0</v>
      </c>
      <c r="P14" s="36">
        <v>86.0</v>
      </c>
      <c r="Q14" s="36">
        <v>0.0</v>
      </c>
      <c r="R14" s="36">
        <v>45.0</v>
      </c>
      <c r="S14" s="36">
        <v>9.0</v>
      </c>
      <c r="T14" s="36">
        <v>0.0</v>
      </c>
      <c r="U14" s="36">
        <v>0.0</v>
      </c>
      <c r="V14" s="35">
        <f t="shared" si="3"/>
        <v>131</v>
      </c>
      <c r="W14" s="37">
        <v>2.0</v>
      </c>
      <c r="X14" s="36">
        <v>1.0</v>
      </c>
      <c r="Y14" s="36">
        <v>20.0</v>
      </c>
      <c r="Z14" s="36">
        <v>2.0</v>
      </c>
      <c r="AA14" s="36">
        <v>0.0</v>
      </c>
      <c r="AB14" s="36">
        <v>0.0</v>
      </c>
      <c r="AC14" s="36">
        <v>0.0</v>
      </c>
      <c r="AD14" s="36">
        <v>0.0</v>
      </c>
      <c r="AE14" s="36">
        <v>0.0</v>
      </c>
      <c r="AF14" s="36">
        <v>1.0</v>
      </c>
      <c r="AG14" s="36">
        <v>0.0</v>
      </c>
    </row>
    <row r="15">
      <c r="A15" s="32" t="s">
        <v>98</v>
      </c>
      <c r="B15" s="33" t="s">
        <v>99</v>
      </c>
      <c r="C15" s="34" t="s">
        <v>104</v>
      </c>
      <c r="D15" s="35" t="s">
        <v>89</v>
      </c>
      <c r="E15" s="36">
        <v>30.0</v>
      </c>
      <c r="F15" s="36">
        <v>13.0</v>
      </c>
      <c r="G15" s="36">
        <v>390.0</v>
      </c>
      <c r="H15" s="36">
        <v>3.0</v>
      </c>
      <c r="I15" s="36">
        <v>6.0</v>
      </c>
      <c r="J15" s="36">
        <v>3.0</v>
      </c>
      <c r="K15" s="36">
        <v>390.0</v>
      </c>
      <c r="L15" s="36">
        <v>0.0</v>
      </c>
      <c r="M15" s="36">
        <v>28.0</v>
      </c>
      <c r="N15" s="36">
        <v>4.0</v>
      </c>
      <c r="O15" s="36">
        <v>1.0</v>
      </c>
      <c r="P15" s="36">
        <v>86.0</v>
      </c>
      <c r="Q15" s="35">
        <v>13.0</v>
      </c>
      <c r="R15" s="35">
        <v>61.0</v>
      </c>
      <c r="S15" s="35">
        <v>10.0</v>
      </c>
      <c r="T15" s="35">
        <v>13.0</v>
      </c>
      <c r="U15" s="35">
        <v>13.0</v>
      </c>
      <c r="V15" s="35">
        <f t="shared" si="3"/>
        <v>147</v>
      </c>
      <c r="W15" s="37">
        <v>2.0</v>
      </c>
      <c r="X15" s="36">
        <v>1.0</v>
      </c>
      <c r="Y15" s="36">
        <v>20.0</v>
      </c>
      <c r="Z15" s="36">
        <v>2.0</v>
      </c>
      <c r="AA15" s="36">
        <v>0.0</v>
      </c>
      <c r="AB15" s="36">
        <v>0.0</v>
      </c>
      <c r="AC15" s="36">
        <v>0.0</v>
      </c>
      <c r="AD15" s="36">
        <v>0.0</v>
      </c>
      <c r="AE15" s="36">
        <v>0.0</v>
      </c>
      <c r="AF15" s="36">
        <v>1.0</v>
      </c>
      <c r="AG15" s="36">
        <v>0.0</v>
      </c>
    </row>
    <row r="16">
      <c r="A16" s="32" t="s">
        <v>98</v>
      </c>
      <c r="B16" s="33" t="s">
        <v>99</v>
      </c>
      <c r="C16" s="34" t="s">
        <v>105</v>
      </c>
      <c r="D16" s="35" t="s">
        <v>89</v>
      </c>
      <c r="E16" s="35">
        <v>35.0</v>
      </c>
      <c r="F16" s="35">
        <v>13.0</v>
      </c>
      <c r="G16" s="35">
        <v>455.0</v>
      </c>
      <c r="H16" s="35">
        <v>40.0</v>
      </c>
      <c r="I16" s="35">
        <v>2.0</v>
      </c>
      <c r="J16" s="35">
        <v>1.0</v>
      </c>
      <c r="K16" s="35">
        <v>455.0</v>
      </c>
      <c r="L16" s="36">
        <v>0.0</v>
      </c>
      <c r="M16" s="35">
        <v>33.0</v>
      </c>
      <c r="N16" s="35">
        <v>2.0</v>
      </c>
      <c r="O16" s="35">
        <v>0.0</v>
      </c>
      <c r="P16" s="35">
        <v>96.0</v>
      </c>
      <c r="Q16" s="35">
        <v>13.0</v>
      </c>
      <c r="R16" s="35">
        <v>0.0</v>
      </c>
      <c r="S16" s="35">
        <v>0.0</v>
      </c>
      <c r="T16" s="35">
        <v>35.0</v>
      </c>
      <c r="U16" s="35">
        <v>35.0</v>
      </c>
      <c r="V16" s="35">
        <f t="shared" si="3"/>
        <v>96</v>
      </c>
      <c r="W16" s="37">
        <v>1.0</v>
      </c>
      <c r="X16" s="35">
        <v>0.0</v>
      </c>
      <c r="Y16" s="36">
        <v>0.0</v>
      </c>
      <c r="Z16" s="35">
        <v>4.0</v>
      </c>
      <c r="AA16" s="35">
        <v>0.0</v>
      </c>
      <c r="AB16" s="35">
        <v>0.0</v>
      </c>
      <c r="AC16" s="35">
        <v>0.0</v>
      </c>
      <c r="AD16" s="35">
        <v>0.0</v>
      </c>
      <c r="AE16" s="35">
        <v>0.0</v>
      </c>
      <c r="AF16" s="35">
        <v>1.0</v>
      </c>
      <c r="AG16" s="35">
        <v>0.0</v>
      </c>
    </row>
    <row r="17">
      <c r="A17" s="32" t="s">
        <v>98</v>
      </c>
      <c r="B17" s="33" t="s">
        <v>99</v>
      </c>
      <c r="C17" s="34" t="s">
        <v>106</v>
      </c>
      <c r="D17" s="35" t="s">
        <v>89</v>
      </c>
      <c r="E17" s="35">
        <v>35.0</v>
      </c>
      <c r="F17" s="35">
        <v>13.0</v>
      </c>
      <c r="G17" s="35">
        <v>455.0</v>
      </c>
      <c r="H17" s="35">
        <v>40.0</v>
      </c>
      <c r="I17" s="35">
        <v>2.0</v>
      </c>
      <c r="J17" s="35">
        <v>1.0</v>
      </c>
      <c r="K17" s="35">
        <v>455.0</v>
      </c>
      <c r="L17" s="36">
        <v>0.0</v>
      </c>
      <c r="M17" s="35">
        <v>33.0</v>
      </c>
      <c r="N17" s="35">
        <v>2.0</v>
      </c>
      <c r="O17" s="35">
        <v>0.0</v>
      </c>
      <c r="P17" s="35">
        <v>96.0</v>
      </c>
      <c r="Q17" s="35">
        <v>13.0</v>
      </c>
      <c r="R17" s="35">
        <v>0.0</v>
      </c>
      <c r="S17" s="35">
        <v>0.0</v>
      </c>
      <c r="T17" s="35">
        <v>35.0</v>
      </c>
      <c r="U17" s="35">
        <v>35.0</v>
      </c>
      <c r="V17" s="35">
        <f t="shared" si="3"/>
        <v>96</v>
      </c>
      <c r="W17" s="37">
        <v>1.0</v>
      </c>
      <c r="X17" s="35">
        <v>0.0</v>
      </c>
      <c r="Y17" s="36">
        <v>0.0</v>
      </c>
      <c r="Z17" s="35">
        <v>4.0</v>
      </c>
      <c r="AA17" s="35">
        <v>0.0</v>
      </c>
      <c r="AB17" s="35">
        <v>0.0</v>
      </c>
      <c r="AC17" s="35">
        <v>0.0</v>
      </c>
      <c r="AD17" s="35">
        <v>0.0</v>
      </c>
      <c r="AE17" s="35">
        <v>0.0</v>
      </c>
      <c r="AF17" s="35">
        <v>1.0</v>
      </c>
      <c r="AG17" s="35">
        <v>0.0</v>
      </c>
    </row>
    <row r="18">
      <c r="A18" s="32" t="s">
        <v>98</v>
      </c>
      <c r="B18" s="33" t="s">
        <v>99</v>
      </c>
      <c r="C18" s="34" t="s">
        <v>107</v>
      </c>
      <c r="D18" s="35" t="s">
        <v>89</v>
      </c>
      <c r="E18" s="36">
        <v>30.0</v>
      </c>
      <c r="F18" s="36">
        <v>13.0</v>
      </c>
      <c r="G18" s="36">
        <v>390.0</v>
      </c>
      <c r="H18" s="36">
        <v>3.0</v>
      </c>
      <c r="I18" s="36">
        <v>7.0</v>
      </c>
      <c r="J18" s="36">
        <v>5.0</v>
      </c>
      <c r="K18" s="36">
        <v>390.0</v>
      </c>
      <c r="L18" s="36">
        <v>0.0</v>
      </c>
      <c r="M18" s="36">
        <v>28.0</v>
      </c>
      <c r="N18" s="36">
        <v>4.0</v>
      </c>
      <c r="O18" s="36">
        <v>1.0</v>
      </c>
      <c r="P18" s="36">
        <v>86.0</v>
      </c>
      <c r="Q18" s="36">
        <v>0.0</v>
      </c>
      <c r="R18" s="36">
        <v>45.0</v>
      </c>
      <c r="S18" s="36">
        <v>9.0</v>
      </c>
      <c r="T18" s="36">
        <v>0.0</v>
      </c>
      <c r="U18" s="36">
        <v>0.0</v>
      </c>
      <c r="V18" s="35">
        <f t="shared" si="3"/>
        <v>131</v>
      </c>
      <c r="W18" s="37">
        <v>2.0</v>
      </c>
      <c r="X18" s="36">
        <v>1.0</v>
      </c>
      <c r="Y18" s="36">
        <v>20.0</v>
      </c>
      <c r="Z18" s="36">
        <v>2.0</v>
      </c>
      <c r="AA18" s="36">
        <v>0.0</v>
      </c>
      <c r="AB18" s="36">
        <v>0.0</v>
      </c>
      <c r="AC18" s="36">
        <v>0.0</v>
      </c>
      <c r="AD18" s="36">
        <v>0.0</v>
      </c>
      <c r="AE18" s="36">
        <v>0.0</v>
      </c>
      <c r="AF18" s="36">
        <v>1.0</v>
      </c>
      <c r="AG18" s="36">
        <v>0.0</v>
      </c>
    </row>
    <row r="19">
      <c r="A19" s="32" t="s">
        <v>98</v>
      </c>
      <c r="B19" s="33" t="s">
        <v>99</v>
      </c>
      <c r="C19" s="34" t="s">
        <v>108</v>
      </c>
      <c r="D19" s="35" t="s">
        <v>89</v>
      </c>
      <c r="E19" s="36">
        <v>30.0</v>
      </c>
      <c r="F19" s="36">
        <v>13.0</v>
      </c>
      <c r="G19" s="36">
        <v>390.0</v>
      </c>
      <c r="H19" s="36">
        <v>3.0</v>
      </c>
      <c r="I19" s="36">
        <v>6.0</v>
      </c>
      <c r="J19" s="36">
        <v>3.0</v>
      </c>
      <c r="K19" s="36">
        <v>390.0</v>
      </c>
      <c r="L19" s="36">
        <v>0.0</v>
      </c>
      <c r="M19" s="36">
        <v>28.0</v>
      </c>
      <c r="N19" s="36">
        <v>4.0</v>
      </c>
      <c r="O19" s="36">
        <v>1.0</v>
      </c>
      <c r="P19" s="36">
        <v>86.0</v>
      </c>
      <c r="Q19" s="35">
        <v>13.0</v>
      </c>
      <c r="R19" s="35">
        <v>61.0</v>
      </c>
      <c r="S19" s="35">
        <v>10.0</v>
      </c>
      <c r="T19" s="35">
        <v>13.0</v>
      </c>
      <c r="U19" s="35">
        <v>13.0</v>
      </c>
      <c r="V19" s="35">
        <f t="shared" si="3"/>
        <v>147</v>
      </c>
      <c r="W19" s="37">
        <v>2.0</v>
      </c>
      <c r="X19" s="36">
        <v>1.0</v>
      </c>
      <c r="Y19" s="36">
        <v>20.0</v>
      </c>
      <c r="Z19" s="36">
        <v>2.0</v>
      </c>
      <c r="AA19" s="36">
        <v>0.0</v>
      </c>
      <c r="AB19" s="36">
        <v>0.0</v>
      </c>
      <c r="AC19" s="36">
        <v>0.0</v>
      </c>
      <c r="AD19" s="36">
        <v>0.0</v>
      </c>
      <c r="AE19" s="36">
        <v>0.0</v>
      </c>
      <c r="AF19" s="36">
        <v>1.0</v>
      </c>
      <c r="AG19" s="36">
        <v>0.0</v>
      </c>
    </row>
    <row r="20">
      <c r="A20" s="32" t="s">
        <v>98</v>
      </c>
      <c r="B20" s="33" t="s">
        <v>99</v>
      </c>
      <c r="C20" s="34" t="s">
        <v>109</v>
      </c>
      <c r="D20" s="35" t="s">
        <v>89</v>
      </c>
      <c r="E20" s="35">
        <v>35.0</v>
      </c>
      <c r="F20" s="35">
        <v>13.0</v>
      </c>
      <c r="G20" s="35">
        <v>455.0</v>
      </c>
      <c r="H20" s="35">
        <v>40.0</v>
      </c>
      <c r="I20" s="35">
        <v>2.0</v>
      </c>
      <c r="J20" s="35">
        <v>1.0</v>
      </c>
      <c r="K20" s="35">
        <v>455.0</v>
      </c>
      <c r="L20" s="36">
        <v>0.0</v>
      </c>
      <c r="M20" s="35">
        <v>33.0</v>
      </c>
      <c r="N20" s="35">
        <v>2.0</v>
      </c>
      <c r="O20" s="35">
        <v>0.0</v>
      </c>
      <c r="P20" s="35">
        <v>96.0</v>
      </c>
      <c r="Q20" s="35">
        <v>13.0</v>
      </c>
      <c r="R20" s="35">
        <v>0.0</v>
      </c>
      <c r="S20" s="35">
        <v>0.0</v>
      </c>
      <c r="T20" s="35">
        <v>35.0</v>
      </c>
      <c r="U20" s="35">
        <v>35.0</v>
      </c>
      <c r="V20" s="35">
        <f t="shared" si="3"/>
        <v>96</v>
      </c>
      <c r="W20" s="37">
        <v>1.0</v>
      </c>
      <c r="X20" s="35">
        <v>0.0</v>
      </c>
      <c r="Y20" s="36">
        <v>0.0</v>
      </c>
      <c r="Z20" s="35">
        <v>4.0</v>
      </c>
      <c r="AA20" s="35">
        <v>0.0</v>
      </c>
      <c r="AB20" s="35">
        <v>0.0</v>
      </c>
      <c r="AC20" s="35">
        <v>0.0</v>
      </c>
      <c r="AD20" s="35">
        <v>0.0</v>
      </c>
      <c r="AE20" s="35">
        <v>0.0</v>
      </c>
      <c r="AF20" s="35">
        <v>1.0</v>
      </c>
      <c r="AG20" s="35">
        <v>0.0</v>
      </c>
    </row>
    <row r="21">
      <c r="A21" s="32" t="s">
        <v>98</v>
      </c>
      <c r="B21" s="33" t="s">
        <v>99</v>
      </c>
      <c r="C21" s="34" t="s">
        <v>110</v>
      </c>
      <c r="D21" s="35" t="s">
        <v>89</v>
      </c>
      <c r="E21" s="35">
        <v>35.0</v>
      </c>
      <c r="F21" s="35">
        <v>13.0</v>
      </c>
      <c r="G21" s="35">
        <v>455.0</v>
      </c>
      <c r="H21" s="35">
        <v>40.0</v>
      </c>
      <c r="I21" s="35">
        <v>2.0</v>
      </c>
      <c r="J21" s="35">
        <v>1.0</v>
      </c>
      <c r="K21" s="35">
        <v>455.0</v>
      </c>
      <c r="L21" s="36">
        <v>0.0</v>
      </c>
      <c r="M21" s="35">
        <v>33.0</v>
      </c>
      <c r="N21" s="35">
        <v>2.0</v>
      </c>
      <c r="O21" s="35">
        <v>0.0</v>
      </c>
      <c r="P21" s="35">
        <v>96.0</v>
      </c>
      <c r="Q21" s="35">
        <v>13.0</v>
      </c>
      <c r="R21" s="35">
        <v>0.0</v>
      </c>
      <c r="S21" s="35">
        <v>0.0</v>
      </c>
      <c r="T21" s="35">
        <v>35.0</v>
      </c>
      <c r="U21" s="35">
        <v>35.0</v>
      </c>
      <c r="V21" s="35">
        <f t="shared" si="3"/>
        <v>96</v>
      </c>
      <c r="W21" s="37">
        <v>1.0</v>
      </c>
      <c r="X21" s="35">
        <v>0.0</v>
      </c>
      <c r="Y21" s="36">
        <v>0.0</v>
      </c>
      <c r="Z21" s="35">
        <v>4.0</v>
      </c>
      <c r="AA21" s="35">
        <v>0.0</v>
      </c>
      <c r="AB21" s="35">
        <v>0.0</v>
      </c>
      <c r="AC21" s="35">
        <v>0.0</v>
      </c>
      <c r="AD21" s="35">
        <v>0.0</v>
      </c>
      <c r="AE21" s="35">
        <v>0.0</v>
      </c>
      <c r="AF21" s="35">
        <v>1.0</v>
      </c>
      <c r="AG21" s="35">
        <v>0.0</v>
      </c>
    </row>
    <row r="22">
      <c r="A22" s="32" t="s">
        <v>98</v>
      </c>
      <c r="B22" s="33" t="s">
        <v>99</v>
      </c>
      <c r="C22" s="34" t="s">
        <v>111</v>
      </c>
      <c r="D22" s="35" t="s">
        <v>89</v>
      </c>
      <c r="E22" s="36">
        <v>30.0</v>
      </c>
      <c r="F22" s="36">
        <v>13.0</v>
      </c>
      <c r="G22" s="36">
        <v>390.0</v>
      </c>
      <c r="H22" s="36">
        <v>3.0</v>
      </c>
      <c r="I22" s="36">
        <v>7.0</v>
      </c>
      <c r="J22" s="36">
        <v>5.0</v>
      </c>
      <c r="K22" s="36">
        <v>390.0</v>
      </c>
      <c r="L22" s="36">
        <v>0.0</v>
      </c>
      <c r="M22" s="36">
        <v>28.0</v>
      </c>
      <c r="N22" s="36">
        <v>4.0</v>
      </c>
      <c r="O22" s="36">
        <v>1.0</v>
      </c>
      <c r="P22" s="36">
        <v>86.0</v>
      </c>
      <c r="Q22" s="36">
        <v>0.0</v>
      </c>
      <c r="R22" s="36">
        <v>45.0</v>
      </c>
      <c r="S22" s="36">
        <v>9.0</v>
      </c>
      <c r="T22" s="36">
        <v>0.0</v>
      </c>
      <c r="U22" s="36">
        <v>0.0</v>
      </c>
      <c r="V22" s="35">
        <f t="shared" si="3"/>
        <v>131</v>
      </c>
      <c r="W22" s="37">
        <v>2.0</v>
      </c>
      <c r="X22" s="36">
        <v>1.0</v>
      </c>
      <c r="Y22" s="36">
        <v>20.0</v>
      </c>
      <c r="Z22" s="36">
        <v>2.0</v>
      </c>
      <c r="AA22" s="36">
        <v>0.0</v>
      </c>
      <c r="AB22" s="36">
        <v>0.0</v>
      </c>
      <c r="AC22" s="36">
        <v>0.0</v>
      </c>
      <c r="AD22" s="36">
        <v>0.0</v>
      </c>
      <c r="AE22" s="36">
        <v>0.0</v>
      </c>
      <c r="AF22" s="36">
        <v>1.0</v>
      </c>
      <c r="AG22" s="36">
        <v>0.0</v>
      </c>
    </row>
    <row r="23">
      <c r="A23" s="32" t="s">
        <v>98</v>
      </c>
      <c r="B23" s="33" t="s">
        <v>112</v>
      </c>
      <c r="C23" s="34" t="s">
        <v>113</v>
      </c>
      <c r="D23" s="35" t="s">
        <v>89</v>
      </c>
      <c r="E23" s="35">
        <v>30.0</v>
      </c>
      <c r="F23" s="35">
        <v>11.0</v>
      </c>
      <c r="G23" s="35">
        <v>330.0</v>
      </c>
      <c r="H23" s="35">
        <v>30.0</v>
      </c>
      <c r="I23" s="35">
        <v>2.0</v>
      </c>
      <c r="J23" s="35">
        <v>1.0</v>
      </c>
      <c r="K23" s="35">
        <v>330.0</v>
      </c>
      <c r="L23" s="36">
        <v>0.0</v>
      </c>
      <c r="M23" s="35">
        <v>31.0</v>
      </c>
      <c r="N23" s="35">
        <v>2.0</v>
      </c>
      <c r="O23" s="35">
        <v>0.0</v>
      </c>
      <c r="P23" s="35">
        <v>82.0</v>
      </c>
      <c r="Q23" s="35">
        <v>35.0</v>
      </c>
      <c r="R23" s="35">
        <v>0.0</v>
      </c>
      <c r="S23" s="35">
        <v>0.0</v>
      </c>
      <c r="T23" s="35">
        <v>0.0</v>
      </c>
      <c r="U23" s="35">
        <v>0.0</v>
      </c>
      <c r="V23" s="35">
        <f t="shared" si="3"/>
        <v>82</v>
      </c>
      <c r="W23" s="37">
        <v>1.0</v>
      </c>
      <c r="X23" s="35">
        <v>0.0</v>
      </c>
      <c r="Y23" s="35">
        <v>8.0</v>
      </c>
      <c r="Z23" s="35">
        <v>4.0</v>
      </c>
      <c r="AA23" s="35">
        <v>0.0</v>
      </c>
      <c r="AB23" s="35">
        <v>0.0</v>
      </c>
      <c r="AC23" s="35">
        <v>0.0</v>
      </c>
      <c r="AD23" s="35">
        <v>0.0</v>
      </c>
      <c r="AE23" s="35">
        <v>0.0</v>
      </c>
      <c r="AF23" s="35">
        <v>1.0</v>
      </c>
      <c r="AG23" s="35">
        <v>0.0</v>
      </c>
    </row>
    <row r="24">
      <c r="A24" s="32" t="s">
        <v>98</v>
      </c>
      <c r="B24" s="33" t="s">
        <v>112</v>
      </c>
      <c r="C24" s="34" t="s">
        <v>114</v>
      </c>
      <c r="D24" s="35" t="s">
        <v>89</v>
      </c>
      <c r="E24" s="35">
        <v>34.0</v>
      </c>
      <c r="F24" s="35">
        <v>11.0</v>
      </c>
      <c r="G24" s="35">
        <v>374.0</v>
      </c>
      <c r="H24" s="35">
        <v>6.0</v>
      </c>
      <c r="I24" s="35">
        <v>4.0</v>
      </c>
      <c r="J24" s="35">
        <v>2.0</v>
      </c>
      <c r="K24" s="35">
        <v>374.0</v>
      </c>
      <c r="L24" s="35">
        <v>0.0</v>
      </c>
      <c r="M24" s="35">
        <v>23.0</v>
      </c>
      <c r="N24" s="35">
        <v>5.0</v>
      </c>
      <c r="O24" s="35">
        <v>1.0</v>
      </c>
      <c r="P24" s="35">
        <v>82.0</v>
      </c>
      <c r="Q24" s="35">
        <v>0.0</v>
      </c>
      <c r="R24" s="35">
        <v>30.0</v>
      </c>
      <c r="S24" s="35">
        <v>7.0</v>
      </c>
      <c r="T24" s="35">
        <v>30.0</v>
      </c>
      <c r="U24" s="35">
        <v>30.0</v>
      </c>
      <c r="V24" s="35">
        <f t="shared" si="3"/>
        <v>112</v>
      </c>
      <c r="W24" s="37">
        <v>1.0</v>
      </c>
      <c r="X24" s="35">
        <v>1.0</v>
      </c>
      <c r="Y24" s="35">
        <v>2.0</v>
      </c>
      <c r="Z24" s="35">
        <v>2.0</v>
      </c>
      <c r="AA24" s="35">
        <v>0.0</v>
      </c>
      <c r="AB24" s="35">
        <v>0.0</v>
      </c>
      <c r="AC24" s="35">
        <v>0.0</v>
      </c>
      <c r="AD24" s="35">
        <v>0.0</v>
      </c>
      <c r="AE24" s="35">
        <v>0.0</v>
      </c>
      <c r="AF24" s="35">
        <v>2.0</v>
      </c>
      <c r="AG24" s="35">
        <v>0.0</v>
      </c>
    </row>
    <row r="25">
      <c r="A25" s="32" t="s">
        <v>98</v>
      </c>
      <c r="B25" s="33" t="s">
        <v>112</v>
      </c>
      <c r="C25" s="34" t="s">
        <v>115</v>
      </c>
      <c r="D25" s="35" t="s">
        <v>89</v>
      </c>
      <c r="E25" s="35">
        <v>30.0</v>
      </c>
      <c r="F25" s="35">
        <v>11.0</v>
      </c>
      <c r="G25" s="35">
        <v>330.0</v>
      </c>
      <c r="H25" s="35">
        <v>3.0</v>
      </c>
      <c r="I25" s="35">
        <v>4.0</v>
      </c>
      <c r="J25" s="35">
        <v>2.0</v>
      </c>
      <c r="K25" s="35">
        <v>330.0</v>
      </c>
      <c r="L25" s="35">
        <v>0.0</v>
      </c>
      <c r="M25" s="35">
        <v>21.0</v>
      </c>
      <c r="N25" s="35">
        <v>4.0</v>
      </c>
      <c r="O25" s="35">
        <v>1.0</v>
      </c>
      <c r="P25" s="35">
        <v>82.0</v>
      </c>
      <c r="Q25" s="35">
        <v>0.0</v>
      </c>
      <c r="R25" s="35">
        <v>31.0</v>
      </c>
      <c r="S25" s="35">
        <v>7.0</v>
      </c>
      <c r="T25" s="35">
        <v>30.0</v>
      </c>
      <c r="U25" s="35">
        <v>30.0</v>
      </c>
      <c r="V25" s="35">
        <f t="shared" si="3"/>
        <v>113</v>
      </c>
      <c r="W25" s="37">
        <v>1.0</v>
      </c>
      <c r="X25" s="35">
        <v>1.0</v>
      </c>
      <c r="Y25" s="35">
        <v>21.0</v>
      </c>
      <c r="Z25" s="35">
        <v>2.0</v>
      </c>
      <c r="AA25" s="35">
        <v>0.0</v>
      </c>
      <c r="AB25" s="35">
        <v>0.0</v>
      </c>
      <c r="AC25" s="35">
        <v>0.0</v>
      </c>
      <c r="AD25" s="35">
        <v>0.0</v>
      </c>
      <c r="AE25" s="35">
        <v>0.0</v>
      </c>
      <c r="AF25" s="35">
        <v>1.0</v>
      </c>
      <c r="AG25" s="35">
        <v>0.0</v>
      </c>
    </row>
    <row r="26">
      <c r="A26" s="32" t="s">
        <v>98</v>
      </c>
      <c r="B26" s="33" t="s">
        <v>112</v>
      </c>
      <c r="C26" s="34" t="s">
        <v>116</v>
      </c>
      <c r="D26" s="35" t="s">
        <v>89</v>
      </c>
      <c r="E26" s="35">
        <v>30.0</v>
      </c>
      <c r="F26" s="35">
        <v>11.0</v>
      </c>
      <c r="G26" s="35">
        <v>330.0</v>
      </c>
      <c r="H26" s="35">
        <v>30.0</v>
      </c>
      <c r="I26" s="35">
        <v>2.0</v>
      </c>
      <c r="J26" s="35">
        <v>1.0</v>
      </c>
      <c r="K26" s="35">
        <v>330.0</v>
      </c>
      <c r="L26" s="36">
        <v>0.0</v>
      </c>
      <c r="M26" s="35">
        <v>31.0</v>
      </c>
      <c r="N26" s="35">
        <v>2.0</v>
      </c>
      <c r="O26" s="35">
        <v>0.0</v>
      </c>
      <c r="P26" s="35">
        <v>82.0</v>
      </c>
      <c r="Q26" s="35">
        <v>35.0</v>
      </c>
      <c r="R26" s="35">
        <v>0.0</v>
      </c>
      <c r="S26" s="35">
        <v>0.0</v>
      </c>
      <c r="T26" s="35">
        <v>0.0</v>
      </c>
      <c r="U26" s="35">
        <v>0.0</v>
      </c>
      <c r="V26" s="35">
        <f t="shared" si="3"/>
        <v>82</v>
      </c>
      <c r="W26" s="37">
        <v>1.0</v>
      </c>
      <c r="X26" s="35">
        <v>0.0</v>
      </c>
      <c r="Y26" s="35">
        <v>8.0</v>
      </c>
      <c r="Z26" s="35">
        <v>4.0</v>
      </c>
      <c r="AA26" s="35">
        <v>0.0</v>
      </c>
      <c r="AB26" s="35">
        <v>0.0</v>
      </c>
      <c r="AC26" s="35">
        <v>0.0</v>
      </c>
      <c r="AD26" s="35">
        <v>0.0</v>
      </c>
      <c r="AE26" s="35">
        <v>0.0</v>
      </c>
      <c r="AF26" s="35">
        <v>1.0</v>
      </c>
      <c r="AG26" s="35">
        <v>0.0</v>
      </c>
    </row>
    <row r="27">
      <c r="A27" s="32" t="s">
        <v>98</v>
      </c>
      <c r="B27" s="33" t="s">
        <v>112</v>
      </c>
      <c r="C27" s="34" t="s">
        <v>117</v>
      </c>
      <c r="D27" s="35" t="s">
        <v>89</v>
      </c>
      <c r="E27" s="35">
        <v>30.0</v>
      </c>
      <c r="F27" s="35">
        <v>11.0</v>
      </c>
      <c r="G27" s="35">
        <v>330.0</v>
      </c>
      <c r="H27" s="35">
        <v>30.0</v>
      </c>
      <c r="I27" s="35">
        <v>2.0</v>
      </c>
      <c r="J27" s="35">
        <v>1.0</v>
      </c>
      <c r="K27" s="35">
        <v>330.0</v>
      </c>
      <c r="L27" s="36">
        <v>0.0</v>
      </c>
      <c r="M27" s="35">
        <v>31.0</v>
      </c>
      <c r="N27" s="35">
        <v>2.0</v>
      </c>
      <c r="O27" s="35">
        <v>0.0</v>
      </c>
      <c r="P27" s="35">
        <v>82.0</v>
      </c>
      <c r="Q27" s="35">
        <v>35.0</v>
      </c>
      <c r="R27" s="35">
        <v>0.0</v>
      </c>
      <c r="S27" s="35">
        <v>0.0</v>
      </c>
      <c r="T27" s="35">
        <v>0.0</v>
      </c>
      <c r="U27" s="35">
        <v>0.0</v>
      </c>
      <c r="V27" s="35">
        <f t="shared" si="3"/>
        <v>82</v>
      </c>
      <c r="W27" s="37">
        <v>1.0</v>
      </c>
      <c r="X27" s="35">
        <v>0.0</v>
      </c>
      <c r="Y27" s="35">
        <v>8.0</v>
      </c>
      <c r="Z27" s="35">
        <v>4.0</v>
      </c>
      <c r="AA27" s="35">
        <v>0.0</v>
      </c>
      <c r="AB27" s="35">
        <v>0.0</v>
      </c>
      <c r="AC27" s="35">
        <v>0.0</v>
      </c>
      <c r="AD27" s="35">
        <v>0.0</v>
      </c>
      <c r="AE27" s="35">
        <v>0.0</v>
      </c>
      <c r="AF27" s="35">
        <v>1.0</v>
      </c>
      <c r="AG27" s="35">
        <v>0.0</v>
      </c>
    </row>
    <row r="28">
      <c r="A28" s="32" t="s">
        <v>98</v>
      </c>
      <c r="B28" s="33" t="s">
        <v>112</v>
      </c>
      <c r="C28" s="34" t="s">
        <v>118</v>
      </c>
      <c r="D28" s="35" t="s">
        <v>89</v>
      </c>
      <c r="E28" s="35">
        <v>34.0</v>
      </c>
      <c r="F28" s="35">
        <v>11.0</v>
      </c>
      <c r="G28" s="35">
        <v>374.0</v>
      </c>
      <c r="H28" s="35">
        <v>6.0</v>
      </c>
      <c r="I28" s="35">
        <v>5.0</v>
      </c>
      <c r="J28" s="35">
        <v>2.0</v>
      </c>
      <c r="K28" s="35">
        <v>374.0</v>
      </c>
      <c r="L28" s="35">
        <v>0.0</v>
      </c>
      <c r="M28" s="35">
        <v>23.0</v>
      </c>
      <c r="N28" s="35">
        <v>5.0</v>
      </c>
      <c r="O28" s="35">
        <v>1.0</v>
      </c>
      <c r="P28" s="35">
        <v>82.0</v>
      </c>
      <c r="Q28" s="35">
        <v>0.0</v>
      </c>
      <c r="R28" s="35">
        <v>30.0</v>
      </c>
      <c r="S28" s="35">
        <v>7.0</v>
      </c>
      <c r="T28" s="35">
        <v>30.0</v>
      </c>
      <c r="U28" s="35">
        <v>30.0</v>
      </c>
      <c r="V28" s="35">
        <f t="shared" si="3"/>
        <v>112</v>
      </c>
      <c r="W28" s="37">
        <v>1.0</v>
      </c>
      <c r="X28" s="35">
        <v>1.0</v>
      </c>
      <c r="Y28" s="35">
        <v>2.0</v>
      </c>
      <c r="Z28" s="35">
        <v>2.0</v>
      </c>
      <c r="AA28" s="35">
        <v>0.0</v>
      </c>
      <c r="AB28" s="35">
        <v>0.0</v>
      </c>
      <c r="AC28" s="35">
        <v>0.0</v>
      </c>
      <c r="AD28" s="35">
        <v>0.0</v>
      </c>
      <c r="AE28" s="35">
        <v>0.0</v>
      </c>
      <c r="AF28" s="35">
        <v>2.0</v>
      </c>
      <c r="AG28" s="35">
        <v>0.0</v>
      </c>
    </row>
    <row r="29">
      <c r="A29" s="32" t="s">
        <v>98</v>
      </c>
      <c r="B29" s="33" t="s">
        <v>112</v>
      </c>
      <c r="C29" s="34" t="s">
        <v>119</v>
      </c>
      <c r="D29" s="35" t="s">
        <v>89</v>
      </c>
      <c r="E29" s="35">
        <v>30.0</v>
      </c>
      <c r="F29" s="35">
        <v>11.0</v>
      </c>
      <c r="G29" s="35">
        <v>330.0</v>
      </c>
      <c r="H29" s="35">
        <v>3.0</v>
      </c>
      <c r="I29" s="35">
        <v>5.0</v>
      </c>
      <c r="J29" s="35">
        <v>2.0</v>
      </c>
      <c r="K29" s="35">
        <v>330.0</v>
      </c>
      <c r="L29" s="35">
        <v>0.0</v>
      </c>
      <c r="M29" s="35">
        <v>21.0</v>
      </c>
      <c r="N29" s="35">
        <v>5.0</v>
      </c>
      <c r="O29" s="35">
        <v>1.0</v>
      </c>
      <c r="P29" s="35">
        <v>82.0</v>
      </c>
      <c r="Q29" s="35">
        <v>0.0</v>
      </c>
      <c r="R29" s="35">
        <v>31.0</v>
      </c>
      <c r="S29" s="35">
        <v>7.0</v>
      </c>
      <c r="T29" s="35">
        <v>30.0</v>
      </c>
      <c r="U29" s="35">
        <v>30.0</v>
      </c>
      <c r="V29" s="35">
        <f t="shared" si="3"/>
        <v>113</v>
      </c>
      <c r="W29" s="37">
        <v>1.0</v>
      </c>
      <c r="X29" s="35">
        <v>1.0</v>
      </c>
      <c r="Y29" s="35">
        <v>21.0</v>
      </c>
      <c r="Z29" s="35">
        <v>2.0</v>
      </c>
      <c r="AA29" s="35">
        <v>0.0</v>
      </c>
      <c r="AB29" s="35">
        <v>0.0</v>
      </c>
      <c r="AC29" s="35">
        <v>0.0</v>
      </c>
      <c r="AD29" s="35">
        <v>0.0</v>
      </c>
      <c r="AE29" s="35">
        <v>0.0</v>
      </c>
      <c r="AF29" s="35">
        <v>2.0</v>
      </c>
      <c r="AG29" s="35">
        <v>0.0</v>
      </c>
    </row>
    <row r="30">
      <c r="A30" s="32" t="s">
        <v>98</v>
      </c>
      <c r="B30" s="33" t="s">
        <v>112</v>
      </c>
      <c r="C30" s="34" t="s">
        <v>120</v>
      </c>
      <c r="D30" s="35" t="s">
        <v>89</v>
      </c>
      <c r="E30" s="35">
        <v>30.0</v>
      </c>
      <c r="F30" s="35">
        <v>11.0</v>
      </c>
      <c r="G30" s="35">
        <v>330.0</v>
      </c>
      <c r="H30" s="35">
        <v>30.0</v>
      </c>
      <c r="I30" s="35">
        <v>2.0</v>
      </c>
      <c r="J30" s="35">
        <v>1.0</v>
      </c>
      <c r="K30" s="35">
        <v>330.0</v>
      </c>
      <c r="L30" s="36">
        <v>0.0</v>
      </c>
      <c r="M30" s="35">
        <v>31.0</v>
      </c>
      <c r="N30" s="35">
        <v>2.0</v>
      </c>
      <c r="O30" s="35">
        <v>0.0</v>
      </c>
      <c r="P30" s="35">
        <v>82.0</v>
      </c>
      <c r="Q30" s="35">
        <v>35.0</v>
      </c>
      <c r="R30" s="35">
        <v>0.0</v>
      </c>
      <c r="S30" s="35">
        <v>0.0</v>
      </c>
      <c r="T30" s="35">
        <v>0.0</v>
      </c>
      <c r="U30" s="35">
        <v>0.0</v>
      </c>
      <c r="V30" s="35">
        <f t="shared" si="3"/>
        <v>82</v>
      </c>
      <c r="W30" s="37">
        <v>1.0</v>
      </c>
      <c r="X30" s="35">
        <v>0.0</v>
      </c>
      <c r="Y30" s="35">
        <v>8.0</v>
      </c>
      <c r="Z30" s="35">
        <v>4.0</v>
      </c>
      <c r="AA30" s="35">
        <v>0.0</v>
      </c>
      <c r="AB30" s="35">
        <v>0.0</v>
      </c>
      <c r="AC30" s="35">
        <v>0.0</v>
      </c>
      <c r="AD30" s="35">
        <v>0.0</v>
      </c>
      <c r="AE30" s="35">
        <v>0.0</v>
      </c>
      <c r="AF30" s="35">
        <v>1.0</v>
      </c>
      <c r="AG30" s="35">
        <v>0.0</v>
      </c>
    </row>
    <row r="31">
      <c r="A31" s="32" t="s">
        <v>98</v>
      </c>
      <c r="B31" s="33" t="s">
        <v>112</v>
      </c>
      <c r="C31" s="34" t="s">
        <v>121</v>
      </c>
      <c r="D31" s="35" t="s">
        <v>89</v>
      </c>
      <c r="E31" s="35">
        <v>30.0</v>
      </c>
      <c r="F31" s="35">
        <v>11.0</v>
      </c>
      <c r="G31" s="35">
        <v>330.0</v>
      </c>
      <c r="H31" s="35">
        <v>30.0</v>
      </c>
      <c r="I31" s="35">
        <v>2.0</v>
      </c>
      <c r="J31" s="35">
        <v>1.0</v>
      </c>
      <c r="K31" s="35">
        <v>330.0</v>
      </c>
      <c r="L31" s="36">
        <v>0.0</v>
      </c>
      <c r="M31" s="35">
        <v>31.0</v>
      </c>
      <c r="N31" s="35">
        <v>2.0</v>
      </c>
      <c r="O31" s="35">
        <v>0.0</v>
      </c>
      <c r="P31" s="35">
        <v>82.0</v>
      </c>
      <c r="Q31" s="35">
        <v>35.0</v>
      </c>
      <c r="R31" s="35">
        <v>0.0</v>
      </c>
      <c r="S31" s="35">
        <v>0.0</v>
      </c>
      <c r="T31" s="35">
        <v>0.0</v>
      </c>
      <c r="U31" s="35">
        <v>0.0</v>
      </c>
      <c r="V31" s="35">
        <f t="shared" si="3"/>
        <v>82</v>
      </c>
      <c r="W31" s="37">
        <v>1.0</v>
      </c>
      <c r="X31" s="35">
        <v>0.0</v>
      </c>
      <c r="Y31" s="35">
        <v>8.0</v>
      </c>
      <c r="Z31" s="35">
        <v>4.0</v>
      </c>
      <c r="AA31" s="35">
        <v>0.0</v>
      </c>
      <c r="AB31" s="35">
        <v>0.0</v>
      </c>
      <c r="AC31" s="35">
        <v>0.0</v>
      </c>
      <c r="AD31" s="35">
        <v>0.0</v>
      </c>
      <c r="AE31" s="35">
        <v>0.0</v>
      </c>
      <c r="AF31" s="35">
        <v>1.0</v>
      </c>
      <c r="AG31" s="35">
        <v>0.0</v>
      </c>
    </row>
    <row r="32">
      <c r="A32" s="32" t="s">
        <v>98</v>
      </c>
      <c r="B32" s="33" t="s">
        <v>112</v>
      </c>
      <c r="C32" s="34" t="s">
        <v>122</v>
      </c>
      <c r="D32" s="35" t="s">
        <v>89</v>
      </c>
      <c r="E32" s="35">
        <v>34.0</v>
      </c>
      <c r="F32" s="35">
        <v>11.0</v>
      </c>
      <c r="G32" s="35">
        <v>374.0</v>
      </c>
      <c r="H32" s="35">
        <v>6.0</v>
      </c>
      <c r="I32" s="35">
        <v>5.0</v>
      </c>
      <c r="J32" s="35">
        <v>2.0</v>
      </c>
      <c r="K32" s="35">
        <v>374.0</v>
      </c>
      <c r="L32" s="35">
        <v>0.0</v>
      </c>
      <c r="M32" s="35">
        <v>23.0</v>
      </c>
      <c r="N32" s="35">
        <v>5.0</v>
      </c>
      <c r="O32" s="35">
        <v>1.0</v>
      </c>
      <c r="P32" s="35">
        <v>82.0</v>
      </c>
      <c r="Q32" s="35">
        <v>0.0</v>
      </c>
      <c r="R32" s="35">
        <v>30.0</v>
      </c>
      <c r="S32" s="35">
        <v>7.0</v>
      </c>
      <c r="T32" s="35">
        <v>30.0</v>
      </c>
      <c r="U32" s="35">
        <v>30.0</v>
      </c>
      <c r="V32" s="35">
        <f t="shared" si="3"/>
        <v>112</v>
      </c>
      <c r="W32" s="37">
        <v>1.0</v>
      </c>
      <c r="X32" s="35">
        <v>1.0</v>
      </c>
      <c r="Y32" s="35">
        <v>2.0</v>
      </c>
      <c r="Z32" s="35">
        <v>2.0</v>
      </c>
      <c r="AA32" s="35">
        <v>0.0</v>
      </c>
      <c r="AB32" s="35">
        <v>0.0</v>
      </c>
      <c r="AC32" s="35">
        <v>0.0</v>
      </c>
      <c r="AD32" s="35">
        <v>0.0</v>
      </c>
      <c r="AE32" s="35">
        <v>0.0</v>
      </c>
      <c r="AF32" s="35">
        <v>2.0</v>
      </c>
      <c r="AG32" s="35">
        <v>0.0</v>
      </c>
    </row>
    <row r="33">
      <c r="A33" s="32" t="s">
        <v>98</v>
      </c>
      <c r="B33" s="33" t="s">
        <v>112</v>
      </c>
      <c r="C33" s="34" t="s">
        <v>123</v>
      </c>
      <c r="D33" s="35" t="s">
        <v>89</v>
      </c>
      <c r="E33" s="35">
        <v>30.0</v>
      </c>
      <c r="F33" s="35">
        <v>11.0</v>
      </c>
      <c r="G33" s="35">
        <v>330.0</v>
      </c>
      <c r="H33" s="35">
        <v>3.0</v>
      </c>
      <c r="I33" s="35">
        <v>5.0</v>
      </c>
      <c r="J33" s="35">
        <v>2.0</v>
      </c>
      <c r="K33" s="35">
        <v>330.0</v>
      </c>
      <c r="L33" s="35">
        <v>0.0</v>
      </c>
      <c r="M33" s="35">
        <v>21.0</v>
      </c>
      <c r="N33" s="35">
        <v>5.0</v>
      </c>
      <c r="O33" s="35">
        <v>1.0</v>
      </c>
      <c r="P33" s="35">
        <v>82.0</v>
      </c>
      <c r="Q33" s="35">
        <v>0.0</v>
      </c>
      <c r="R33" s="35">
        <v>31.0</v>
      </c>
      <c r="S33" s="35">
        <v>7.0</v>
      </c>
      <c r="T33" s="35">
        <v>30.0</v>
      </c>
      <c r="U33" s="35">
        <v>30.0</v>
      </c>
      <c r="V33" s="35">
        <f t="shared" si="3"/>
        <v>113</v>
      </c>
      <c r="W33" s="37">
        <v>1.0</v>
      </c>
      <c r="X33" s="35">
        <v>1.0</v>
      </c>
      <c r="Y33" s="35">
        <v>21.0</v>
      </c>
      <c r="Z33" s="35">
        <v>2.0</v>
      </c>
      <c r="AA33" s="35">
        <v>0.0</v>
      </c>
      <c r="AB33" s="35">
        <v>0.0</v>
      </c>
      <c r="AC33" s="35">
        <v>0.0</v>
      </c>
      <c r="AD33" s="35">
        <v>0.0</v>
      </c>
      <c r="AE33" s="35">
        <v>0.0</v>
      </c>
      <c r="AF33" s="35">
        <v>2.0</v>
      </c>
      <c r="AG33" s="35">
        <v>0.0</v>
      </c>
    </row>
    <row r="34">
      <c r="A34" s="32" t="s">
        <v>98</v>
      </c>
      <c r="B34" s="33" t="s">
        <v>112</v>
      </c>
      <c r="C34" s="34" t="s">
        <v>124</v>
      </c>
      <c r="D34" s="35" t="s">
        <v>89</v>
      </c>
      <c r="E34" s="35">
        <v>30.0</v>
      </c>
      <c r="F34" s="35">
        <v>11.0</v>
      </c>
      <c r="G34" s="35">
        <v>330.0</v>
      </c>
      <c r="H34" s="35">
        <v>30.0</v>
      </c>
      <c r="I34" s="35">
        <v>2.0</v>
      </c>
      <c r="J34" s="35">
        <v>1.0</v>
      </c>
      <c r="K34" s="35">
        <v>330.0</v>
      </c>
      <c r="L34" s="36">
        <v>0.0</v>
      </c>
      <c r="M34" s="35">
        <v>31.0</v>
      </c>
      <c r="N34" s="35">
        <v>2.0</v>
      </c>
      <c r="O34" s="35">
        <v>0.0</v>
      </c>
      <c r="P34" s="35">
        <v>82.0</v>
      </c>
      <c r="Q34" s="35">
        <v>35.0</v>
      </c>
      <c r="R34" s="35">
        <v>0.0</v>
      </c>
      <c r="S34" s="35">
        <v>0.0</v>
      </c>
      <c r="T34" s="35">
        <v>0.0</v>
      </c>
      <c r="U34" s="35">
        <v>0.0</v>
      </c>
      <c r="V34" s="35">
        <f t="shared" si="3"/>
        <v>82</v>
      </c>
      <c r="W34" s="37">
        <v>1.0</v>
      </c>
      <c r="X34" s="35">
        <v>0.0</v>
      </c>
      <c r="Y34" s="35">
        <v>8.0</v>
      </c>
      <c r="Z34" s="35">
        <v>4.0</v>
      </c>
      <c r="AA34" s="35">
        <v>0.0</v>
      </c>
      <c r="AB34" s="35">
        <v>0.0</v>
      </c>
      <c r="AC34" s="35">
        <v>0.0</v>
      </c>
      <c r="AD34" s="35">
        <v>0.0</v>
      </c>
      <c r="AE34" s="35">
        <v>0.0</v>
      </c>
      <c r="AF34" s="35">
        <v>1.0</v>
      </c>
      <c r="AG34" s="35">
        <v>0.0</v>
      </c>
    </row>
    <row r="35">
      <c r="A35" s="32" t="s">
        <v>98</v>
      </c>
      <c r="B35" s="33" t="s">
        <v>125</v>
      </c>
      <c r="C35" s="34" t="s">
        <v>126</v>
      </c>
      <c r="D35" s="35" t="s">
        <v>89</v>
      </c>
      <c r="E35" s="35">
        <v>35.0</v>
      </c>
      <c r="F35" s="35">
        <v>13.0</v>
      </c>
      <c r="G35" s="35">
        <v>455.0</v>
      </c>
      <c r="H35" s="35">
        <v>32.0</v>
      </c>
      <c r="I35" s="35">
        <v>1.0</v>
      </c>
      <c r="J35" s="35">
        <v>2.0</v>
      </c>
      <c r="K35" s="35">
        <v>455.0</v>
      </c>
      <c r="L35" s="35">
        <v>0.0</v>
      </c>
      <c r="M35" s="35">
        <v>32.0</v>
      </c>
      <c r="N35" s="35">
        <v>2.0</v>
      </c>
      <c r="O35" s="35">
        <v>0.0</v>
      </c>
      <c r="P35" s="35">
        <v>96.0</v>
      </c>
      <c r="Q35" s="35">
        <v>35.0</v>
      </c>
      <c r="R35" s="35">
        <v>0.0</v>
      </c>
      <c r="S35" s="35">
        <v>0.0</v>
      </c>
      <c r="T35" s="35">
        <v>0.0</v>
      </c>
      <c r="U35" s="35">
        <v>0.0</v>
      </c>
      <c r="V35" s="35">
        <f t="shared" si="3"/>
        <v>96</v>
      </c>
      <c r="W35" s="37">
        <v>1.0</v>
      </c>
      <c r="X35" s="35">
        <v>1.0</v>
      </c>
      <c r="Y35" s="35">
        <v>7.0</v>
      </c>
      <c r="Z35" s="35">
        <v>4.0</v>
      </c>
      <c r="AA35" s="35">
        <v>0.0</v>
      </c>
      <c r="AB35" s="35">
        <v>0.0</v>
      </c>
      <c r="AC35" s="35">
        <v>0.0</v>
      </c>
      <c r="AD35" s="35">
        <v>0.0</v>
      </c>
      <c r="AE35" s="35">
        <v>0.0</v>
      </c>
      <c r="AF35" s="35">
        <v>1.0</v>
      </c>
      <c r="AG35" s="35">
        <v>0.0</v>
      </c>
    </row>
    <row r="36">
      <c r="A36" s="32" t="s">
        <v>98</v>
      </c>
      <c r="B36" s="33" t="s">
        <v>125</v>
      </c>
      <c r="C36" s="34" t="s">
        <v>127</v>
      </c>
      <c r="D36" s="35" t="s">
        <v>89</v>
      </c>
      <c r="E36" s="35">
        <v>42.0</v>
      </c>
      <c r="F36" s="35">
        <v>13.0</v>
      </c>
      <c r="G36" s="35">
        <v>546.0</v>
      </c>
      <c r="H36" s="35">
        <v>6.0</v>
      </c>
      <c r="I36" s="35">
        <v>7.0</v>
      </c>
      <c r="J36" s="35">
        <v>2.0</v>
      </c>
      <c r="K36" s="35">
        <v>455.0</v>
      </c>
      <c r="L36" s="35">
        <v>0.0</v>
      </c>
      <c r="M36" s="35">
        <v>33.0</v>
      </c>
      <c r="N36" s="35">
        <v>7.0</v>
      </c>
      <c r="O36" s="35">
        <v>2.0</v>
      </c>
      <c r="P36" s="35">
        <v>110.0</v>
      </c>
      <c r="Q36" s="35">
        <v>0.0</v>
      </c>
      <c r="R36" s="35">
        <v>29.0</v>
      </c>
      <c r="S36" s="35">
        <v>8.0</v>
      </c>
      <c r="T36" s="35">
        <v>42.0</v>
      </c>
      <c r="U36" s="35">
        <v>42.0</v>
      </c>
      <c r="V36" s="35">
        <f t="shared" si="3"/>
        <v>139</v>
      </c>
      <c r="W36" s="37">
        <v>2.0</v>
      </c>
      <c r="X36" s="35">
        <v>0.0</v>
      </c>
      <c r="Y36" s="35">
        <v>66.0</v>
      </c>
      <c r="Z36" s="35">
        <v>2.0</v>
      </c>
      <c r="AA36" s="35">
        <v>0.0</v>
      </c>
      <c r="AB36" s="35">
        <v>0.0</v>
      </c>
      <c r="AC36" s="35">
        <v>0.0</v>
      </c>
      <c r="AD36" s="35">
        <v>0.0</v>
      </c>
      <c r="AE36" s="35">
        <v>0.0</v>
      </c>
      <c r="AF36" s="35">
        <v>2.0</v>
      </c>
      <c r="AG36" s="35">
        <v>0.0</v>
      </c>
    </row>
    <row r="37">
      <c r="A37" s="32" t="s">
        <v>98</v>
      </c>
      <c r="B37" s="33" t="s">
        <v>125</v>
      </c>
      <c r="C37" s="34" t="s">
        <v>128</v>
      </c>
      <c r="D37" s="35" t="s">
        <v>89</v>
      </c>
      <c r="E37" s="35">
        <v>42.0</v>
      </c>
      <c r="F37" s="35">
        <v>13.0</v>
      </c>
      <c r="G37" s="35">
        <v>546.0</v>
      </c>
      <c r="H37" s="35">
        <v>6.0</v>
      </c>
      <c r="I37" s="35">
        <v>7.0</v>
      </c>
      <c r="J37" s="35">
        <v>2.0</v>
      </c>
      <c r="K37" s="35">
        <v>455.0</v>
      </c>
      <c r="L37" s="35">
        <v>0.0</v>
      </c>
      <c r="M37" s="35">
        <v>33.0</v>
      </c>
      <c r="N37" s="35">
        <v>7.0</v>
      </c>
      <c r="O37" s="35">
        <v>2.0</v>
      </c>
      <c r="P37" s="35">
        <v>110.0</v>
      </c>
      <c r="Q37" s="35">
        <v>0.0</v>
      </c>
      <c r="R37" s="35">
        <v>29.0</v>
      </c>
      <c r="S37" s="35">
        <v>8.0</v>
      </c>
      <c r="T37" s="35">
        <v>42.0</v>
      </c>
      <c r="U37" s="35">
        <v>42.0</v>
      </c>
      <c r="V37" s="35">
        <f t="shared" si="3"/>
        <v>139</v>
      </c>
      <c r="W37" s="37">
        <v>2.0</v>
      </c>
      <c r="X37" s="35">
        <v>0.0</v>
      </c>
      <c r="Y37" s="35">
        <v>66.0</v>
      </c>
      <c r="Z37" s="35">
        <v>2.0</v>
      </c>
      <c r="AA37" s="35">
        <v>0.0</v>
      </c>
      <c r="AB37" s="35">
        <v>0.0</v>
      </c>
      <c r="AC37" s="35">
        <v>0.0</v>
      </c>
      <c r="AD37" s="35">
        <v>0.0</v>
      </c>
      <c r="AE37" s="35">
        <v>0.0</v>
      </c>
      <c r="AF37" s="35">
        <v>2.0</v>
      </c>
      <c r="AG37" s="35">
        <v>0.0</v>
      </c>
    </row>
    <row r="38">
      <c r="A38" s="32" t="s">
        <v>98</v>
      </c>
      <c r="B38" s="33" t="s">
        <v>125</v>
      </c>
      <c r="C38" s="34" t="s">
        <v>129</v>
      </c>
      <c r="D38" s="35" t="s">
        <v>89</v>
      </c>
      <c r="E38" s="35">
        <v>35.0</v>
      </c>
      <c r="F38" s="35">
        <v>13.0</v>
      </c>
      <c r="G38" s="35">
        <v>455.0</v>
      </c>
      <c r="H38" s="35">
        <v>32.0</v>
      </c>
      <c r="I38" s="35">
        <v>1.0</v>
      </c>
      <c r="J38" s="35">
        <v>2.0</v>
      </c>
      <c r="K38" s="35">
        <v>455.0</v>
      </c>
      <c r="L38" s="35">
        <v>0.0</v>
      </c>
      <c r="M38" s="35">
        <v>32.0</v>
      </c>
      <c r="N38" s="35">
        <v>2.0</v>
      </c>
      <c r="O38" s="35">
        <v>0.0</v>
      </c>
      <c r="P38" s="35">
        <v>96.0</v>
      </c>
      <c r="Q38" s="35">
        <v>35.0</v>
      </c>
      <c r="R38" s="35">
        <v>0.0</v>
      </c>
      <c r="S38" s="35">
        <v>0.0</v>
      </c>
      <c r="T38" s="35">
        <v>0.0</v>
      </c>
      <c r="U38" s="35">
        <v>0.0</v>
      </c>
      <c r="V38" s="35">
        <f t="shared" si="3"/>
        <v>96</v>
      </c>
      <c r="W38" s="37">
        <v>1.0</v>
      </c>
      <c r="X38" s="35">
        <v>1.0</v>
      </c>
      <c r="Y38" s="35">
        <v>7.0</v>
      </c>
      <c r="Z38" s="35">
        <v>4.0</v>
      </c>
      <c r="AA38" s="35">
        <v>0.0</v>
      </c>
      <c r="AB38" s="35">
        <v>0.0</v>
      </c>
      <c r="AC38" s="35">
        <v>0.0</v>
      </c>
      <c r="AD38" s="35">
        <v>0.0</v>
      </c>
      <c r="AE38" s="35">
        <v>0.0</v>
      </c>
      <c r="AF38" s="35">
        <v>1.0</v>
      </c>
      <c r="AG38" s="35">
        <v>0.0</v>
      </c>
    </row>
    <row r="39">
      <c r="A39" s="32" t="s">
        <v>98</v>
      </c>
      <c r="B39" s="33" t="s">
        <v>125</v>
      </c>
      <c r="C39" s="34" t="s">
        <v>130</v>
      </c>
      <c r="D39" s="35" t="s">
        <v>89</v>
      </c>
      <c r="E39" s="35">
        <v>35.0</v>
      </c>
      <c r="F39" s="35">
        <v>13.0</v>
      </c>
      <c r="G39" s="35">
        <v>455.0</v>
      </c>
      <c r="H39" s="35">
        <v>32.0</v>
      </c>
      <c r="I39" s="35">
        <v>1.0</v>
      </c>
      <c r="J39" s="35">
        <v>2.0</v>
      </c>
      <c r="K39" s="35">
        <v>455.0</v>
      </c>
      <c r="L39" s="35">
        <v>0.0</v>
      </c>
      <c r="M39" s="35">
        <v>32.0</v>
      </c>
      <c r="N39" s="35">
        <v>2.0</v>
      </c>
      <c r="O39" s="35">
        <v>0.0</v>
      </c>
      <c r="P39" s="35">
        <v>96.0</v>
      </c>
      <c r="Q39" s="35">
        <v>35.0</v>
      </c>
      <c r="R39" s="35">
        <v>0.0</v>
      </c>
      <c r="S39" s="35">
        <v>0.0</v>
      </c>
      <c r="T39" s="35">
        <v>0.0</v>
      </c>
      <c r="U39" s="35">
        <v>0.0</v>
      </c>
      <c r="V39" s="35">
        <f t="shared" si="3"/>
        <v>96</v>
      </c>
      <c r="W39" s="37">
        <v>1.0</v>
      </c>
      <c r="X39" s="35">
        <v>1.0</v>
      </c>
      <c r="Y39" s="35">
        <v>7.0</v>
      </c>
      <c r="Z39" s="35">
        <v>4.0</v>
      </c>
      <c r="AA39" s="35">
        <v>0.0</v>
      </c>
      <c r="AB39" s="35">
        <v>0.0</v>
      </c>
      <c r="AC39" s="35">
        <v>0.0</v>
      </c>
      <c r="AD39" s="35">
        <v>0.0</v>
      </c>
      <c r="AE39" s="35">
        <v>0.0</v>
      </c>
      <c r="AF39" s="35">
        <v>1.0</v>
      </c>
      <c r="AG39" s="35">
        <v>0.0</v>
      </c>
    </row>
    <row r="40">
      <c r="A40" s="32" t="s">
        <v>98</v>
      </c>
      <c r="B40" s="33" t="s">
        <v>125</v>
      </c>
      <c r="C40" s="34" t="s">
        <v>131</v>
      </c>
      <c r="D40" s="35" t="s">
        <v>89</v>
      </c>
      <c r="E40" s="35">
        <v>42.0</v>
      </c>
      <c r="F40" s="35">
        <v>13.0</v>
      </c>
      <c r="G40" s="35">
        <v>546.0</v>
      </c>
      <c r="H40" s="35">
        <v>6.0</v>
      </c>
      <c r="I40" s="35">
        <v>7.0</v>
      </c>
      <c r="J40" s="35">
        <v>2.0</v>
      </c>
      <c r="K40" s="35">
        <v>455.0</v>
      </c>
      <c r="L40" s="35">
        <v>0.0</v>
      </c>
      <c r="M40" s="35">
        <v>33.0</v>
      </c>
      <c r="N40" s="35">
        <v>7.0</v>
      </c>
      <c r="O40" s="35">
        <v>2.0</v>
      </c>
      <c r="P40" s="35">
        <v>110.0</v>
      </c>
      <c r="Q40" s="35">
        <v>0.0</v>
      </c>
      <c r="R40" s="35">
        <v>29.0</v>
      </c>
      <c r="S40" s="35">
        <v>8.0</v>
      </c>
      <c r="T40" s="35">
        <v>42.0</v>
      </c>
      <c r="U40" s="35">
        <v>42.0</v>
      </c>
      <c r="V40" s="35">
        <f t="shared" si="3"/>
        <v>139</v>
      </c>
      <c r="W40" s="37">
        <v>2.0</v>
      </c>
      <c r="X40" s="35">
        <v>0.0</v>
      </c>
      <c r="Y40" s="35">
        <v>66.0</v>
      </c>
      <c r="Z40" s="35">
        <v>2.0</v>
      </c>
      <c r="AA40" s="35">
        <v>0.0</v>
      </c>
      <c r="AB40" s="35">
        <v>0.0</v>
      </c>
      <c r="AC40" s="35">
        <v>0.0</v>
      </c>
      <c r="AD40" s="35">
        <v>0.0</v>
      </c>
      <c r="AE40" s="35">
        <v>0.0</v>
      </c>
      <c r="AF40" s="35">
        <v>2.0</v>
      </c>
      <c r="AG40" s="35">
        <v>0.0</v>
      </c>
    </row>
    <row r="41">
      <c r="A41" s="32" t="s">
        <v>98</v>
      </c>
      <c r="B41" s="33" t="s">
        <v>125</v>
      </c>
      <c r="C41" s="34" t="s">
        <v>132</v>
      </c>
      <c r="D41" s="35" t="s">
        <v>89</v>
      </c>
      <c r="E41" s="35">
        <v>42.0</v>
      </c>
      <c r="F41" s="35">
        <v>13.0</v>
      </c>
      <c r="G41" s="35">
        <v>546.0</v>
      </c>
      <c r="H41" s="35">
        <v>6.0</v>
      </c>
      <c r="I41" s="35">
        <v>7.0</v>
      </c>
      <c r="J41" s="35">
        <v>2.0</v>
      </c>
      <c r="K41" s="35">
        <v>455.0</v>
      </c>
      <c r="L41" s="35">
        <v>0.0</v>
      </c>
      <c r="M41" s="35">
        <v>33.0</v>
      </c>
      <c r="N41" s="35">
        <v>7.0</v>
      </c>
      <c r="O41" s="35">
        <v>2.0</v>
      </c>
      <c r="P41" s="35">
        <v>110.0</v>
      </c>
      <c r="Q41" s="35">
        <v>0.0</v>
      </c>
      <c r="R41" s="35">
        <v>29.0</v>
      </c>
      <c r="S41" s="35">
        <v>8.0</v>
      </c>
      <c r="T41" s="35">
        <v>42.0</v>
      </c>
      <c r="U41" s="35">
        <v>42.0</v>
      </c>
      <c r="V41" s="35">
        <f t="shared" si="3"/>
        <v>139</v>
      </c>
      <c r="W41" s="37">
        <v>2.0</v>
      </c>
      <c r="X41" s="35">
        <v>0.0</v>
      </c>
      <c r="Y41" s="35">
        <v>66.0</v>
      </c>
      <c r="Z41" s="35">
        <v>2.0</v>
      </c>
      <c r="AA41" s="35">
        <v>0.0</v>
      </c>
      <c r="AB41" s="35">
        <v>0.0</v>
      </c>
      <c r="AC41" s="35">
        <v>0.0</v>
      </c>
      <c r="AD41" s="35">
        <v>0.0</v>
      </c>
      <c r="AE41" s="35">
        <v>0.0</v>
      </c>
      <c r="AF41" s="35">
        <v>2.0</v>
      </c>
      <c r="AG41" s="35">
        <v>0.0</v>
      </c>
    </row>
    <row r="42">
      <c r="A42" s="32" t="s">
        <v>98</v>
      </c>
      <c r="B42" s="33" t="s">
        <v>125</v>
      </c>
      <c r="C42" s="34" t="s">
        <v>133</v>
      </c>
      <c r="D42" s="35" t="s">
        <v>89</v>
      </c>
      <c r="E42" s="35">
        <v>35.0</v>
      </c>
      <c r="F42" s="35">
        <v>13.0</v>
      </c>
      <c r="G42" s="35">
        <v>455.0</v>
      </c>
      <c r="H42" s="35">
        <v>32.0</v>
      </c>
      <c r="I42" s="35">
        <v>1.0</v>
      </c>
      <c r="J42" s="35">
        <v>2.0</v>
      </c>
      <c r="K42" s="35">
        <v>455.0</v>
      </c>
      <c r="L42" s="35">
        <v>0.0</v>
      </c>
      <c r="M42" s="35">
        <v>32.0</v>
      </c>
      <c r="N42" s="35">
        <v>2.0</v>
      </c>
      <c r="O42" s="35">
        <v>0.0</v>
      </c>
      <c r="P42" s="35">
        <v>96.0</v>
      </c>
      <c r="Q42" s="35">
        <v>35.0</v>
      </c>
      <c r="R42" s="35">
        <v>0.0</v>
      </c>
      <c r="S42" s="35">
        <v>0.0</v>
      </c>
      <c r="T42" s="35">
        <v>0.0</v>
      </c>
      <c r="U42" s="35">
        <v>0.0</v>
      </c>
      <c r="V42" s="35">
        <f t="shared" si="3"/>
        <v>96</v>
      </c>
      <c r="W42" s="37">
        <v>1.0</v>
      </c>
      <c r="X42" s="35">
        <v>1.0</v>
      </c>
      <c r="Y42" s="35">
        <v>7.0</v>
      </c>
      <c r="Z42" s="35">
        <v>4.0</v>
      </c>
      <c r="AA42" s="35">
        <v>0.0</v>
      </c>
      <c r="AB42" s="35">
        <v>0.0</v>
      </c>
      <c r="AC42" s="35">
        <v>0.0</v>
      </c>
      <c r="AD42" s="35">
        <v>0.0</v>
      </c>
      <c r="AE42" s="35">
        <v>0.0</v>
      </c>
      <c r="AF42" s="35">
        <v>1.0</v>
      </c>
      <c r="AG42" s="35">
        <v>0.0</v>
      </c>
    </row>
    <row r="43">
      <c r="A43" s="32" t="s">
        <v>98</v>
      </c>
      <c r="B43" s="33" t="s">
        <v>125</v>
      </c>
      <c r="C43" s="34" t="s">
        <v>134</v>
      </c>
      <c r="D43" s="35" t="s">
        <v>89</v>
      </c>
      <c r="E43" s="35">
        <v>35.0</v>
      </c>
      <c r="F43" s="35">
        <v>13.0</v>
      </c>
      <c r="G43" s="35">
        <v>455.0</v>
      </c>
      <c r="H43" s="35">
        <v>32.0</v>
      </c>
      <c r="I43" s="35">
        <v>1.0</v>
      </c>
      <c r="J43" s="35">
        <v>2.0</v>
      </c>
      <c r="K43" s="35">
        <v>455.0</v>
      </c>
      <c r="L43" s="35">
        <v>0.0</v>
      </c>
      <c r="M43" s="35">
        <v>32.0</v>
      </c>
      <c r="N43" s="35">
        <v>2.0</v>
      </c>
      <c r="O43" s="35">
        <v>0.0</v>
      </c>
      <c r="P43" s="35">
        <v>96.0</v>
      </c>
      <c r="Q43" s="35">
        <v>35.0</v>
      </c>
      <c r="R43" s="35">
        <v>0.0</v>
      </c>
      <c r="S43" s="35">
        <v>0.0</v>
      </c>
      <c r="T43" s="35">
        <v>0.0</v>
      </c>
      <c r="U43" s="35">
        <v>0.0</v>
      </c>
      <c r="V43" s="35">
        <f t="shared" si="3"/>
        <v>96</v>
      </c>
      <c r="W43" s="37">
        <v>1.0</v>
      </c>
      <c r="X43" s="35">
        <v>1.0</v>
      </c>
      <c r="Y43" s="35">
        <v>7.0</v>
      </c>
      <c r="Z43" s="35">
        <v>4.0</v>
      </c>
      <c r="AA43" s="35">
        <v>0.0</v>
      </c>
      <c r="AB43" s="35">
        <v>0.0</v>
      </c>
      <c r="AC43" s="35">
        <v>0.0</v>
      </c>
      <c r="AD43" s="35">
        <v>0.0</v>
      </c>
      <c r="AE43" s="35">
        <v>0.0</v>
      </c>
      <c r="AF43" s="35">
        <v>1.0</v>
      </c>
      <c r="AG43" s="35">
        <v>0.0</v>
      </c>
    </row>
    <row r="44">
      <c r="A44" s="32" t="s">
        <v>98</v>
      </c>
      <c r="B44" s="33" t="s">
        <v>125</v>
      </c>
      <c r="C44" s="34" t="s">
        <v>135</v>
      </c>
      <c r="D44" s="35" t="s">
        <v>89</v>
      </c>
      <c r="E44" s="35">
        <v>42.0</v>
      </c>
      <c r="F44" s="35">
        <v>13.0</v>
      </c>
      <c r="G44" s="35">
        <v>546.0</v>
      </c>
      <c r="H44" s="35">
        <v>6.0</v>
      </c>
      <c r="I44" s="35">
        <v>7.0</v>
      </c>
      <c r="J44" s="35">
        <v>2.0</v>
      </c>
      <c r="K44" s="35">
        <v>455.0</v>
      </c>
      <c r="L44" s="35">
        <v>0.0</v>
      </c>
      <c r="M44" s="35">
        <v>33.0</v>
      </c>
      <c r="N44" s="35">
        <v>7.0</v>
      </c>
      <c r="O44" s="35">
        <v>2.0</v>
      </c>
      <c r="P44" s="35">
        <v>110.0</v>
      </c>
      <c r="Q44" s="35">
        <v>0.0</v>
      </c>
      <c r="R44" s="35">
        <v>29.0</v>
      </c>
      <c r="S44" s="35">
        <v>8.0</v>
      </c>
      <c r="T44" s="35">
        <v>42.0</v>
      </c>
      <c r="U44" s="35">
        <v>42.0</v>
      </c>
      <c r="V44" s="35">
        <f t="shared" si="3"/>
        <v>139</v>
      </c>
      <c r="W44" s="37">
        <v>2.0</v>
      </c>
      <c r="X44" s="35">
        <v>0.0</v>
      </c>
      <c r="Y44" s="35">
        <v>66.0</v>
      </c>
      <c r="Z44" s="35">
        <v>2.0</v>
      </c>
      <c r="AA44" s="35">
        <v>0.0</v>
      </c>
      <c r="AB44" s="35">
        <v>0.0</v>
      </c>
      <c r="AC44" s="35">
        <v>0.0</v>
      </c>
      <c r="AD44" s="35">
        <v>0.0</v>
      </c>
      <c r="AE44" s="35">
        <v>0.0</v>
      </c>
      <c r="AF44" s="35">
        <v>2.0</v>
      </c>
      <c r="AG44" s="35">
        <v>0.0</v>
      </c>
    </row>
    <row r="45">
      <c r="A45" s="32" t="s">
        <v>98</v>
      </c>
      <c r="B45" s="33" t="s">
        <v>125</v>
      </c>
      <c r="C45" s="34" t="s">
        <v>136</v>
      </c>
      <c r="D45" s="35" t="s">
        <v>89</v>
      </c>
      <c r="E45" s="35">
        <v>42.0</v>
      </c>
      <c r="F45" s="35">
        <v>13.0</v>
      </c>
      <c r="G45" s="35">
        <v>546.0</v>
      </c>
      <c r="H45" s="35">
        <v>6.0</v>
      </c>
      <c r="I45" s="35">
        <v>7.0</v>
      </c>
      <c r="J45" s="35">
        <v>2.0</v>
      </c>
      <c r="K45" s="35">
        <v>455.0</v>
      </c>
      <c r="L45" s="35">
        <v>0.0</v>
      </c>
      <c r="M45" s="35">
        <v>33.0</v>
      </c>
      <c r="N45" s="35">
        <v>7.0</v>
      </c>
      <c r="O45" s="35">
        <v>2.0</v>
      </c>
      <c r="P45" s="35">
        <v>110.0</v>
      </c>
      <c r="Q45" s="35">
        <v>0.0</v>
      </c>
      <c r="R45" s="35">
        <v>29.0</v>
      </c>
      <c r="S45" s="35">
        <v>8.0</v>
      </c>
      <c r="T45" s="35">
        <v>42.0</v>
      </c>
      <c r="U45" s="35">
        <v>42.0</v>
      </c>
      <c r="V45" s="35">
        <f t="shared" si="3"/>
        <v>139</v>
      </c>
      <c r="W45" s="37">
        <v>2.0</v>
      </c>
      <c r="X45" s="35">
        <v>0.0</v>
      </c>
      <c r="Y45" s="35">
        <v>66.0</v>
      </c>
      <c r="Z45" s="35">
        <v>2.0</v>
      </c>
      <c r="AA45" s="35">
        <v>0.0</v>
      </c>
      <c r="AB45" s="35">
        <v>0.0</v>
      </c>
      <c r="AC45" s="35">
        <v>0.0</v>
      </c>
      <c r="AD45" s="35">
        <v>0.0</v>
      </c>
      <c r="AE45" s="35">
        <v>0.0</v>
      </c>
      <c r="AF45" s="35">
        <v>2.0</v>
      </c>
      <c r="AG45" s="35">
        <v>0.0</v>
      </c>
    </row>
    <row r="46">
      <c r="A46" s="32" t="s">
        <v>98</v>
      </c>
      <c r="B46" s="33" t="s">
        <v>125</v>
      </c>
      <c r="C46" s="34" t="s">
        <v>137</v>
      </c>
      <c r="D46" s="35" t="s">
        <v>89</v>
      </c>
      <c r="E46" s="35">
        <v>35.0</v>
      </c>
      <c r="F46" s="35">
        <v>13.0</v>
      </c>
      <c r="G46" s="35">
        <v>455.0</v>
      </c>
      <c r="H46" s="35">
        <v>32.0</v>
      </c>
      <c r="I46" s="35">
        <v>1.0</v>
      </c>
      <c r="J46" s="35">
        <v>2.0</v>
      </c>
      <c r="K46" s="35">
        <v>455.0</v>
      </c>
      <c r="L46" s="35">
        <v>0.0</v>
      </c>
      <c r="M46" s="35">
        <v>32.0</v>
      </c>
      <c r="N46" s="35">
        <v>2.0</v>
      </c>
      <c r="O46" s="35">
        <v>0.0</v>
      </c>
      <c r="P46" s="35">
        <v>96.0</v>
      </c>
      <c r="Q46" s="35">
        <v>35.0</v>
      </c>
      <c r="R46" s="35">
        <v>0.0</v>
      </c>
      <c r="S46" s="35">
        <v>0.0</v>
      </c>
      <c r="T46" s="35">
        <v>0.0</v>
      </c>
      <c r="U46" s="35">
        <v>0.0</v>
      </c>
      <c r="V46" s="35">
        <f t="shared" si="3"/>
        <v>96</v>
      </c>
      <c r="W46" s="37">
        <v>1.0</v>
      </c>
      <c r="X46" s="35">
        <v>1.0</v>
      </c>
      <c r="Y46" s="35">
        <v>7.0</v>
      </c>
      <c r="Z46" s="35">
        <v>4.0</v>
      </c>
      <c r="AA46" s="35">
        <v>0.0</v>
      </c>
      <c r="AB46" s="35">
        <v>0.0</v>
      </c>
      <c r="AC46" s="35">
        <v>0.0</v>
      </c>
      <c r="AD46" s="35">
        <v>0.0</v>
      </c>
      <c r="AE46" s="35">
        <v>0.0</v>
      </c>
      <c r="AF46" s="35">
        <v>1.0</v>
      </c>
      <c r="AG46" s="35">
        <v>0.0</v>
      </c>
    </row>
    <row r="47">
      <c r="A47" s="32" t="s">
        <v>98</v>
      </c>
      <c r="B47" s="33" t="s">
        <v>138</v>
      </c>
      <c r="C47" s="34" t="s">
        <v>139</v>
      </c>
      <c r="D47" s="35" t="s">
        <v>89</v>
      </c>
      <c r="E47" s="43">
        <v>34.0</v>
      </c>
      <c r="F47" s="43">
        <v>11.0</v>
      </c>
      <c r="G47" s="43">
        <v>374.0</v>
      </c>
      <c r="H47" s="43">
        <v>31.0</v>
      </c>
      <c r="I47" s="43">
        <v>2.0</v>
      </c>
      <c r="J47" s="43">
        <v>1.0</v>
      </c>
      <c r="K47" s="43">
        <v>374.0</v>
      </c>
      <c r="L47" s="43">
        <v>0.0</v>
      </c>
      <c r="M47" s="43">
        <v>33.0</v>
      </c>
      <c r="N47" s="43">
        <v>2.0</v>
      </c>
      <c r="O47" s="43">
        <v>0.0</v>
      </c>
      <c r="P47" s="43">
        <v>90.0</v>
      </c>
      <c r="Q47" s="43">
        <v>35.0</v>
      </c>
      <c r="R47" s="43">
        <v>0.0</v>
      </c>
      <c r="S47" s="43">
        <v>0.0</v>
      </c>
      <c r="T47" s="43">
        <v>0.0</v>
      </c>
      <c r="U47" s="43">
        <v>0.0</v>
      </c>
      <c r="V47" s="35">
        <f t="shared" si="3"/>
        <v>90</v>
      </c>
      <c r="W47" s="44">
        <v>1.0</v>
      </c>
      <c r="X47" s="43">
        <v>0.0</v>
      </c>
      <c r="Y47" s="43">
        <v>9.0</v>
      </c>
      <c r="Z47" s="43">
        <v>4.0</v>
      </c>
      <c r="AA47" s="43">
        <v>0.0</v>
      </c>
      <c r="AB47" s="43">
        <v>0.0</v>
      </c>
      <c r="AC47" s="43">
        <v>0.0</v>
      </c>
      <c r="AD47" s="43">
        <v>0.0</v>
      </c>
      <c r="AE47" s="43">
        <v>0.0</v>
      </c>
      <c r="AF47" s="43">
        <v>1.0</v>
      </c>
      <c r="AG47" s="43">
        <v>0.0</v>
      </c>
    </row>
    <row r="48">
      <c r="A48" s="32" t="s">
        <v>98</v>
      </c>
      <c r="B48" s="33" t="s">
        <v>138</v>
      </c>
      <c r="C48" s="34" t="s">
        <v>140</v>
      </c>
      <c r="D48" s="35" t="s">
        <v>89</v>
      </c>
      <c r="E48" s="35">
        <v>34.0</v>
      </c>
      <c r="F48" s="35">
        <v>11.0</v>
      </c>
      <c r="G48" s="35">
        <v>374.0</v>
      </c>
      <c r="H48" s="35">
        <v>6.0</v>
      </c>
      <c r="I48" s="35">
        <v>4.0</v>
      </c>
      <c r="J48" s="35">
        <v>2.0</v>
      </c>
      <c r="K48" s="35">
        <v>374.0</v>
      </c>
      <c r="L48" s="35">
        <v>0.0</v>
      </c>
      <c r="M48" s="35">
        <v>23.0</v>
      </c>
      <c r="N48" s="35">
        <v>5.0</v>
      </c>
      <c r="O48" s="35">
        <v>1.0</v>
      </c>
      <c r="P48" s="35">
        <v>82.0</v>
      </c>
      <c r="Q48" s="35">
        <v>0.0</v>
      </c>
      <c r="R48" s="35">
        <v>30.0</v>
      </c>
      <c r="S48" s="35">
        <v>7.0</v>
      </c>
      <c r="T48" s="35">
        <v>30.0</v>
      </c>
      <c r="U48" s="35">
        <v>30.0</v>
      </c>
      <c r="V48" s="35">
        <f t="shared" si="3"/>
        <v>112</v>
      </c>
      <c r="W48" s="37">
        <v>1.0</v>
      </c>
      <c r="X48" s="35">
        <v>1.0</v>
      </c>
      <c r="Y48" s="35">
        <v>6.0</v>
      </c>
      <c r="Z48" s="35">
        <v>2.0</v>
      </c>
      <c r="AA48" s="35">
        <v>0.0</v>
      </c>
      <c r="AB48" s="35">
        <v>0.0</v>
      </c>
      <c r="AC48" s="35">
        <v>0.0</v>
      </c>
      <c r="AD48" s="35">
        <v>0.0</v>
      </c>
      <c r="AE48" s="35">
        <v>0.0</v>
      </c>
      <c r="AF48" s="35">
        <v>2.0</v>
      </c>
      <c r="AG48" s="35">
        <v>0.0</v>
      </c>
    </row>
    <row r="49">
      <c r="A49" s="32" t="s">
        <v>98</v>
      </c>
      <c r="B49" s="33" t="s">
        <v>138</v>
      </c>
      <c r="C49" s="34" t="s">
        <v>141</v>
      </c>
      <c r="D49" s="35" t="s">
        <v>89</v>
      </c>
      <c r="E49" s="35">
        <v>34.0</v>
      </c>
      <c r="F49" s="35">
        <v>11.0</v>
      </c>
      <c r="G49" s="35">
        <v>374.0</v>
      </c>
      <c r="H49" s="35">
        <v>6.0</v>
      </c>
      <c r="I49" s="35">
        <v>4.0</v>
      </c>
      <c r="J49" s="35">
        <v>2.0</v>
      </c>
      <c r="K49" s="35">
        <v>374.0</v>
      </c>
      <c r="L49" s="35">
        <v>0.0</v>
      </c>
      <c r="M49" s="35">
        <v>23.0</v>
      </c>
      <c r="N49" s="35">
        <v>5.0</v>
      </c>
      <c r="O49" s="35">
        <v>1.0</v>
      </c>
      <c r="P49" s="35">
        <v>82.0</v>
      </c>
      <c r="Q49" s="35">
        <v>0.0</v>
      </c>
      <c r="R49" s="35">
        <v>30.0</v>
      </c>
      <c r="S49" s="35">
        <v>7.0</v>
      </c>
      <c r="T49" s="35">
        <v>30.0</v>
      </c>
      <c r="U49" s="35">
        <v>30.0</v>
      </c>
      <c r="V49" s="35">
        <f t="shared" si="3"/>
        <v>112</v>
      </c>
      <c r="W49" s="37">
        <v>1.0</v>
      </c>
      <c r="X49" s="35">
        <v>1.0</v>
      </c>
      <c r="Y49" s="35">
        <v>6.0</v>
      </c>
      <c r="Z49" s="35">
        <v>2.0</v>
      </c>
      <c r="AA49" s="35">
        <v>0.0</v>
      </c>
      <c r="AB49" s="35">
        <v>0.0</v>
      </c>
      <c r="AC49" s="35">
        <v>0.0</v>
      </c>
      <c r="AD49" s="35">
        <v>0.0</v>
      </c>
      <c r="AE49" s="35">
        <v>0.0</v>
      </c>
      <c r="AF49" s="35">
        <v>2.0</v>
      </c>
      <c r="AG49" s="35">
        <v>0.0</v>
      </c>
    </row>
    <row r="50">
      <c r="A50" s="32" t="s">
        <v>98</v>
      </c>
      <c r="B50" s="33" t="s">
        <v>138</v>
      </c>
      <c r="C50" s="34" t="s">
        <v>142</v>
      </c>
      <c r="D50" s="35" t="s">
        <v>89</v>
      </c>
      <c r="E50" s="43">
        <v>34.0</v>
      </c>
      <c r="F50" s="43">
        <v>11.0</v>
      </c>
      <c r="G50" s="43">
        <v>374.0</v>
      </c>
      <c r="H50" s="43">
        <v>31.0</v>
      </c>
      <c r="I50" s="43">
        <v>2.0</v>
      </c>
      <c r="J50" s="43">
        <v>1.0</v>
      </c>
      <c r="K50" s="43">
        <v>374.0</v>
      </c>
      <c r="L50" s="43">
        <v>0.0</v>
      </c>
      <c r="M50" s="43">
        <v>33.0</v>
      </c>
      <c r="N50" s="43">
        <v>2.0</v>
      </c>
      <c r="O50" s="43">
        <v>0.0</v>
      </c>
      <c r="P50" s="43">
        <v>90.0</v>
      </c>
      <c r="Q50" s="43">
        <v>35.0</v>
      </c>
      <c r="R50" s="43">
        <v>0.0</v>
      </c>
      <c r="S50" s="43">
        <v>0.0</v>
      </c>
      <c r="T50" s="43">
        <v>0.0</v>
      </c>
      <c r="U50" s="43">
        <v>0.0</v>
      </c>
      <c r="V50" s="35">
        <f t="shared" si="3"/>
        <v>90</v>
      </c>
      <c r="W50" s="44">
        <v>1.0</v>
      </c>
      <c r="X50" s="43">
        <v>0.0</v>
      </c>
      <c r="Y50" s="43">
        <v>9.0</v>
      </c>
      <c r="Z50" s="43">
        <v>4.0</v>
      </c>
      <c r="AA50" s="43">
        <v>0.0</v>
      </c>
      <c r="AB50" s="43">
        <v>0.0</v>
      </c>
      <c r="AC50" s="43">
        <v>0.0</v>
      </c>
      <c r="AD50" s="43">
        <v>0.0</v>
      </c>
      <c r="AE50" s="43">
        <v>0.0</v>
      </c>
      <c r="AF50" s="43">
        <v>1.0</v>
      </c>
      <c r="AG50" s="43">
        <v>0.0</v>
      </c>
    </row>
    <row r="51">
      <c r="A51" s="32" t="s">
        <v>98</v>
      </c>
      <c r="B51" s="33" t="s">
        <v>138</v>
      </c>
      <c r="C51" s="34" t="s">
        <v>143</v>
      </c>
      <c r="D51" s="35" t="s">
        <v>89</v>
      </c>
      <c r="E51" s="43">
        <v>34.0</v>
      </c>
      <c r="F51" s="43">
        <v>11.0</v>
      </c>
      <c r="G51" s="43">
        <v>374.0</v>
      </c>
      <c r="H51" s="43">
        <v>31.0</v>
      </c>
      <c r="I51" s="43">
        <v>2.0</v>
      </c>
      <c r="J51" s="43">
        <v>1.0</v>
      </c>
      <c r="K51" s="43">
        <v>374.0</v>
      </c>
      <c r="L51" s="43">
        <v>0.0</v>
      </c>
      <c r="M51" s="43">
        <v>33.0</v>
      </c>
      <c r="N51" s="43">
        <v>2.0</v>
      </c>
      <c r="O51" s="43">
        <v>0.0</v>
      </c>
      <c r="P51" s="43">
        <v>90.0</v>
      </c>
      <c r="Q51" s="43">
        <v>35.0</v>
      </c>
      <c r="R51" s="43">
        <v>0.0</v>
      </c>
      <c r="S51" s="43">
        <v>0.0</v>
      </c>
      <c r="T51" s="43">
        <v>0.0</v>
      </c>
      <c r="U51" s="43">
        <v>0.0</v>
      </c>
      <c r="V51" s="35">
        <f t="shared" si="3"/>
        <v>90</v>
      </c>
      <c r="W51" s="44">
        <v>1.0</v>
      </c>
      <c r="X51" s="43">
        <v>0.0</v>
      </c>
      <c r="Y51" s="43">
        <v>9.0</v>
      </c>
      <c r="Z51" s="43">
        <v>4.0</v>
      </c>
      <c r="AA51" s="43">
        <v>0.0</v>
      </c>
      <c r="AB51" s="43">
        <v>0.0</v>
      </c>
      <c r="AC51" s="43">
        <v>0.0</v>
      </c>
      <c r="AD51" s="43">
        <v>0.0</v>
      </c>
      <c r="AE51" s="43">
        <v>0.0</v>
      </c>
      <c r="AF51" s="43">
        <v>1.0</v>
      </c>
      <c r="AG51" s="43">
        <v>0.0</v>
      </c>
    </row>
    <row r="52">
      <c r="A52" s="32" t="s">
        <v>98</v>
      </c>
      <c r="B52" s="33" t="s">
        <v>138</v>
      </c>
      <c r="C52" s="34" t="s">
        <v>144</v>
      </c>
      <c r="D52" s="35" t="s">
        <v>89</v>
      </c>
      <c r="E52" s="35">
        <v>30.0</v>
      </c>
      <c r="F52" s="35">
        <v>11.0</v>
      </c>
      <c r="G52" s="35">
        <v>330.0</v>
      </c>
      <c r="H52" s="35">
        <v>30.0</v>
      </c>
      <c r="I52" s="35">
        <v>5.0</v>
      </c>
      <c r="J52" s="35">
        <v>2.0</v>
      </c>
      <c r="K52" s="35">
        <v>330.0</v>
      </c>
      <c r="L52" s="36">
        <v>0.0</v>
      </c>
      <c r="M52" s="35">
        <v>31.0</v>
      </c>
      <c r="N52" s="35">
        <v>5.0</v>
      </c>
      <c r="O52" s="35">
        <v>1.0</v>
      </c>
      <c r="P52" s="35">
        <v>82.0</v>
      </c>
      <c r="Q52" s="35">
        <v>0.0</v>
      </c>
      <c r="R52" s="35">
        <v>30.0</v>
      </c>
      <c r="S52" s="35">
        <v>7.0</v>
      </c>
      <c r="T52" s="35">
        <v>30.0</v>
      </c>
      <c r="U52" s="35">
        <v>30.0</v>
      </c>
      <c r="V52" s="35">
        <f t="shared" si="3"/>
        <v>112</v>
      </c>
      <c r="W52" s="37">
        <v>1.0</v>
      </c>
      <c r="X52" s="35">
        <v>1.0</v>
      </c>
      <c r="Y52" s="35">
        <v>15.0</v>
      </c>
      <c r="Z52" s="35">
        <v>2.0</v>
      </c>
      <c r="AA52" s="35">
        <v>0.0</v>
      </c>
      <c r="AB52" s="35">
        <v>0.0</v>
      </c>
      <c r="AC52" s="35">
        <v>0.0</v>
      </c>
      <c r="AD52" s="35">
        <v>0.0</v>
      </c>
      <c r="AE52" s="35">
        <v>0.0</v>
      </c>
      <c r="AF52" s="35">
        <v>2.0</v>
      </c>
      <c r="AG52" s="35">
        <v>0.0</v>
      </c>
    </row>
    <row r="53">
      <c r="A53" s="32" t="s">
        <v>98</v>
      </c>
      <c r="B53" s="33" t="s">
        <v>138</v>
      </c>
      <c r="C53" s="34" t="s">
        <v>145</v>
      </c>
      <c r="D53" s="35" t="s">
        <v>89</v>
      </c>
      <c r="E53" s="35">
        <v>30.0</v>
      </c>
      <c r="F53" s="35">
        <v>11.0</v>
      </c>
      <c r="G53" s="35">
        <v>330.0</v>
      </c>
      <c r="H53" s="35">
        <v>30.0</v>
      </c>
      <c r="I53" s="35">
        <v>5.0</v>
      </c>
      <c r="J53" s="35">
        <v>2.0</v>
      </c>
      <c r="K53" s="35">
        <v>330.0</v>
      </c>
      <c r="L53" s="36">
        <v>0.0</v>
      </c>
      <c r="M53" s="35">
        <v>31.0</v>
      </c>
      <c r="N53" s="35">
        <v>5.0</v>
      </c>
      <c r="O53" s="35">
        <v>1.0</v>
      </c>
      <c r="P53" s="35">
        <v>82.0</v>
      </c>
      <c r="Q53" s="35">
        <v>0.0</v>
      </c>
      <c r="R53" s="35">
        <v>30.0</v>
      </c>
      <c r="S53" s="35">
        <v>7.0</v>
      </c>
      <c r="T53" s="35">
        <v>30.0</v>
      </c>
      <c r="U53" s="35">
        <v>30.0</v>
      </c>
      <c r="V53" s="35">
        <f t="shared" si="3"/>
        <v>112</v>
      </c>
      <c r="W53" s="37">
        <v>1.0</v>
      </c>
      <c r="X53" s="35">
        <v>1.0</v>
      </c>
      <c r="Y53" s="35">
        <v>15.0</v>
      </c>
      <c r="Z53" s="35">
        <v>2.0</v>
      </c>
      <c r="AA53" s="35">
        <v>0.0</v>
      </c>
      <c r="AB53" s="35">
        <v>0.0</v>
      </c>
      <c r="AC53" s="35">
        <v>0.0</v>
      </c>
      <c r="AD53" s="35">
        <v>0.0</v>
      </c>
      <c r="AE53" s="35">
        <v>0.0</v>
      </c>
      <c r="AF53" s="35">
        <v>2.0</v>
      </c>
      <c r="AG53" s="35">
        <v>0.0</v>
      </c>
    </row>
    <row r="54">
      <c r="A54" s="32" t="s">
        <v>98</v>
      </c>
      <c r="B54" s="33" t="s">
        <v>138</v>
      </c>
      <c r="C54" s="34" t="s">
        <v>146</v>
      </c>
      <c r="D54" s="35" t="s">
        <v>89</v>
      </c>
      <c r="E54" s="43">
        <v>34.0</v>
      </c>
      <c r="F54" s="43">
        <v>11.0</v>
      </c>
      <c r="G54" s="43">
        <v>374.0</v>
      </c>
      <c r="H54" s="43">
        <v>31.0</v>
      </c>
      <c r="I54" s="43">
        <v>2.0</v>
      </c>
      <c r="J54" s="43">
        <v>1.0</v>
      </c>
      <c r="K54" s="43">
        <v>374.0</v>
      </c>
      <c r="L54" s="43">
        <v>0.0</v>
      </c>
      <c r="M54" s="43">
        <v>33.0</v>
      </c>
      <c r="N54" s="43">
        <v>2.0</v>
      </c>
      <c r="O54" s="43">
        <v>0.0</v>
      </c>
      <c r="P54" s="43">
        <v>90.0</v>
      </c>
      <c r="Q54" s="43">
        <v>35.0</v>
      </c>
      <c r="R54" s="43">
        <v>0.0</v>
      </c>
      <c r="S54" s="43">
        <v>0.0</v>
      </c>
      <c r="T54" s="43">
        <v>0.0</v>
      </c>
      <c r="U54" s="43">
        <v>0.0</v>
      </c>
      <c r="V54" s="35">
        <f t="shared" si="3"/>
        <v>90</v>
      </c>
      <c r="W54" s="44">
        <v>1.0</v>
      </c>
      <c r="X54" s="43">
        <v>0.0</v>
      </c>
      <c r="Y54" s="43">
        <v>9.0</v>
      </c>
      <c r="Z54" s="43">
        <v>4.0</v>
      </c>
      <c r="AA54" s="43">
        <v>0.0</v>
      </c>
      <c r="AB54" s="43">
        <v>0.0</v>
      </c>
      <c r="AC54" s="43">
        <v>0.0</v>
      </c>
      <c r="AD54" s="43">
        <v>0.0</v>
      </c>
      <c r="AE54" s="43">
        <v>0.0</v>
      </c>
      <c r="AF54" s="43">
        <v>1.0</v>
      </c>
      <c r="AG54" s="43">
        <v>0.0</v>
      </c>
    </row>
    <row r="55">
      <c r="A55" s="32" t="s">
        <v>98</v>
      </c>
      <c r="B55" s="33" t="s">
        <v>138</v>
      </c>
      <c r="C55" s="34" t="s">
        <v>147</v>
      </c>
      <c r="D55" s="35" t="s">
        <v>89</v>
      </c>
      <c r="E55" s="43">
        <v>34.0</v>
      </c>
      <c r="F55" s="43">
        <v>11.0</v>
      </c>
      <c r="G55" s="43">
        <v>374.0</v>
      </c>
      <c r="H55" s="43">
        <v>31.0</v>
      </c>
      <c r="I55" s="43">
        <v>2.0</v>
      </c>
      <c r="J55" s="43">
        <v>1.0</v>
      </c>
      <c r="K55" s="43">
        <v>374.0</v>
      </c>
      <c r="L55" s="43">
        <v>0.0</v>
      </c>
      <c r="M55" s="43">
        <v>33.0</v>
      </c>
      <c r="N55" s="43">
        <v>2.0</v>
      </c>
      <c r="O55" s="43">
        <v>0.0</v>
      </c>
      <c r="P55" s="43">
        <v>90.0</v>
      </c>
      <c r="Q55" s="43">
        <v>35.0</v>
      </c>
      <c r="R55" s="43">
        <v>0.0</v>
      </c>
      <c r="S55" s="43">
        <v>0.0</v>
      </c>
      <c r="T55" s="43">
        <v>0.0</v>
      </c>
      <c r="U55" s="43">
        <v>0.0</v>
      </c>
      <c r="V55" s="35">
        <f t="shared" si="3"/>
        <v>90</v>
      </c>
      <c r="W55" s="44">
        <v>1.0</v>
      </c>
      <c r="X55" s="43">
        <v>0.0</v>
      </c>
      <c r="Y55" s="43">
        <v>9.0</v>
      </c>
      <c r="Z55" s="43">
        <v>4.0</v>
      </c>
      <c r="AA55" s="43">
        <v>0.0</v>
      </c>
      <c r="AB55" s="43">
        <v>0.0</v>
      </c>
      <c r="AC55" s="43">
        <v>0.0</v>
      </c>
      <c r="AD55" s="43">
        <v>0.0</v>
      </c>
      <c r="AE55" s="43">
        <v>0.0</v>
      </c>
      <c r="AF55" s="43">
        <v>1.0</v>
      </c>
      <c r="AG55" s="43">
        <v>0.0</v>
      </c>
    </row>
    <row r="56">
      <c r="A56" s="32" t="s">
        <v>98</v>
      </c>
      <c r="B56" s="33" t="s">
        <v>138</v>
      </c>
      <c r="C56" s="34" t="s">
        <v>148</v>
      </c>
      <c r="D56" s="35" t="s">
        <v>89</v>
      </c>
      <c r="E56" s="35">
        <v>34.0</v>
      </c>
      <c r="F56" s="35">
        <v>11.0</v>
      </c>
      <c r="G56" s="35">
        <v>374.0</v>
      </c>
      <c r="H56" s="35">
        <v>6.0</v>
      </c>
      <c r="I56" s="35">
        <v>5.0</v>
      </c>
      <c r="J56" s="35">
        <v>2.0</v>
      </c>
      <c r="K56" s="35">
        <v>374.0</v>
      </c>
      <c r="L56" s="35">
        <v>0.0</v>
      </c>
      <c r="M56" s="35">
        <v>23.0</v>
      </c>
      <c r="N56" s="35">
        <v>5.0</v>
      </c>
      <c r="O56" s="35">
        <v>1.0</v>
      </c>
      <c r="P56" s="35">
        <v>82.0</v>
      </c>
      <c r="Q56" s="35">
        <v>0.0</v>
      </c>
      <c r="R56" s="35">
        <v>30.0</v>
      </c>
      <c r="S56" s="35">
        <v>7.0</v>
      </c>
      <c r="T56" s="35">
        <v>30.0</v>
      </c>
      <c r="U56" s="35">
        <v>30.0</v>
      </c>
      <c r="V56" s="35">
        <f t="shared" si="3"/>
        <v>112</v>
      </c>
      <c r="W56" s="37">
        <v>1.0</v>
      </c>
      <c r="X56" s="35">
        <v>1.0</v>
      </c>
      <c r="Y56" s="35">
        <v>15.0</v>
      </c>
      <c r="Z56" s="35">
        <v>2.0</v>
      </c>
      <c r="AA56" s="35">
        <v>0.0</v>
      </c>
      <c r="AB56" s="35">
        <v>0.0</v>
      </c>
      <c r="AC56" s="35">
        <v>0.0</v>
      </c>
      <c r="AD56" s="35">
        <v>0.0</v>
      </c>
      <c r="AE56" s="35">
        <v>0.0</v>
      </c>
      <c r="AF56" s="35">
        <v>2.0</v>
      </c>
      <c r="AG56" s="35">
        <v>0.0</v>
      </c>
    </row>
    <row r="57">
      <c r="A57" s="32" t="s">
        <v>98</v>
      </c>
      <c r="B57" s="33" t="s">
        <v>138</v>
      </c>
      <c r="C57" s="34" t="s">
        <v>149</v>
      </c>
      <c r="D57" s="35" t="s">
        <v>89</v>
      </c>
      <c r="E57" s="35">
        <v>34.0</v>
      </c>
      <c r="F57" s="35">
        <v>11.0</v>
      </c>
      <c r="G57" s="35">
        <v>374.0</v>
      </c>
      <c r="H57" s="35">
        <v>6.0</v>
      </c>
      <c r="I57" s="35">
        <v>5.0</v>
      </c>
      <c r="J57" s="35">
        <v>2.0</v>
      </c>
      <c r="K57" s="35">
        <v>374.0</v>
      </c>
      <c r="L57" s="35">
        <v>0.0</v>
      </c>
      <c r="M57" s="35">
        <v>23.0</v>
      </c>
      <c r="N57" s="35">
        <v>5.0</v>
      </c>
      <c r="O57" s="35">
        <v>1.0</v>
      </c>
      <c r="P57" s="35">
        <v>82.0</v>
      </c>
      <c r="Q57" s="35">
        <v>0.0</v>
      </c>
      <c r="R57" s="35">
        <v>30.0</v>
      </c>
      <c r="S57" s="35">
        <v>7.0</v>
      </c>
      <c r="T57" s="35">
        <v>30.0</v>
      </c>
      <c r="U57" s="35">
        <v>30.0</v>
      </c>
      <c r="V57" s="35">
        <f t="shared" si="3"/>
        <v>112</v>
      </c>
      <c r="W57" s="37">
        <v>1.0</v>
      </c>
      <c r="X57" s="35">
        <v>1.0</v>
      </c>
      <c r="Y57" s="35">
        <v>15.0</v>
      </c>
      <c r="Z57" s="35">
        <v>2.0</v>
      </c>
      <c r="AA57" s="35">
        <v>0.0</v>
      </c>
      <c r="AB57" s="35">
        <v>0.0</v>
      </c>
      <c r="AC57" s="35">
        <v>0.0</v>
      </c>
      <c r="AD57" s="35">
        <v>0.0</v>
      </c>
      <c r="AE57" s="35">
        <v>0.0</v>
      </c>
      <c r="AF57" s="35">
        <v>2.0</v>
      </c>
      <c r="AG57" s="35">
        <v>0.0</v>
      </c>
    </row>
    <row r="58">
      <c r="A58" s="32" t="s">
        <v>98</v>
      </c>
      <c r="B58" s="33" t="s">
        <v>138</v>
      </c>
      <c r="C58" s="34" t="s">
        <v>150</v>
      </c>
      <c r="D58" s="35" t="s">
        <v>89</v>
      </c>
      <c r="E58" s="43">
        <v>34.0</v>
      </c>
      <c r="F58" s="43">
        <v>11.0</v>
      </c>
      <c r="G58" s="43">
        <v>374.0</v>
      </c>
      <c r="H58" s="43">
        <v>31.0</v>
      </c>
      <c r="I58" s="43">
        <v>2.0</v>
      </c>
      <c r="J58" s="43">
        <v>1.0</v>
      </c>
      <c r="K58" s="43">
        <v>374.0</v>
      </c>
      <c r="L58" s="43">
        <v>0.0</v>
      </c>
      <c r="M58" s="43">
        <v>33.0</v>
      </c>
      <c r="N58" s="43">
        <v>2.0</v>
      </c>
      <c r="O58" s="43">
        <v>0.0</v>
      </c>
      <c r="P58" s="43">
        <v>90.0</v>
      </c>
      <c r="Q58" s="43">
        <v>35.0</v>
      </c>
      <c r="R58" s="43">
        <v>0.0</v>
      </c>
      <c r="S58" s="43">
        <v>0.0</v>
      </c>
      <c r="T58" s="43">
        <v>0.0</v>
      </c>
      <c r="U58" s="43">
        <v>0.0</v>
      </c>
      <c r="V58" s="35">
        <f t="shared" si="3"/>
        <v>90</v>
      </c>
      <c r="W58" s="44">
        <v>1.0</v>
      </c>
      <c r="X58" s="43">
        <v>0.0</v>
      </c>
      <c r="Y58" s="43">
        <v>9.0</v>
      </c>
      <c r="Z58" s="43">
        <v>4.0</v>
      </c>
      <c r="AA58" s="43">
        <v>0.0</v>
      </c>
      <c r="AB58" s="43">
        <v>0.0</v>
      </c>
      <c r="AC58" s="43">
        <v>0.0</v>
      </c>
      <c r="AD58" s="43">
        <v>0.0</v>
      </c>
      <c r="AE58" s="43">
        <v>0.0</v>
      </c>
      <c r="AF58" s="43">
        <v>1.0</v>
      </c>
      <c r="AG58" s="43">
        <v>0.0</v>
      </c>
    </row>
    <row r="59">
      <c r="A59" s="32" t="s">
        <v>98</v>
      </c>
      <c r="B59" s="33" t="s">
        <v>151</v>
      </c>
      <c r="C59" s="34" t="s">
        <v>152</v>
      </c>
      <c r="D59" s="35" t="s">
        <v>89</v>
      </c>
      <c r="E59" s="43">
        <v>35.0</v>
      </c>
      <c r="F59" s="43">
        <v>11.0</v>
      </c>
      <c r="G59" s="43">
        <v>385.0</v>
      </c>
      <c r="H59" s="43">
        <v>3.0</v>
      </c>
      <c r="I59" s="43">
        <v>4.0</v>
      </c>
      <c r="J59" s="43">
        <v>1.0</v>
      </c>
      <c r="K59" s="43">
        <v>385.0</v>
      </c>
      <c r="L59" s="43">
        <v>0.0</v>
      </c>
      <c r="M59" s="43">
        <v>24.0</v>
      </c>
      <c r="N59" s="43">
        <v>4.0</v>
      </c>
      <c r="O59" s="43">
        <v>1.0</v>
      </c>
      <c r="P59" s="43">
        <v>92.0</v>
      </c>
      <c r="Q59" s="43">
        <v>11.0</v>
      </c>
      <c r="R59" s="43">
        <v>28.0</v>
      </c>
      <c r="S59" s="43">
        <v>7.0</v>
      </c>
      <c r="T59" s="43">
        <v>16.0</v>
      </c>
      <c r="U59" s="43">
        <v>16.0</v>
      </c>
      <c r="V59" s="35">
        <f t="shared" si="3"/>
        <v>120</v>
      </c>
      <c r="W59" s="44">
        <v>1.0</v>
      </c>
      <c r="X59" s="43">
        <v>1.0</v>
      </c>
      <c r="Y59" s="43">
        <v>3.0</v>
      </c>
      <c r="Z59" s="43">
        <v>2.0</v>
      </c>
      <c r="AA59" s="43">
        <v>0.0</v>
      </c>
      <c r="AB59" s="43">
        <v>0.0</v>
      </c>
      <c r="AC59" s="43">
        <v>0.0</v>
      </c>
      <c r="AD59" s="43">
        <v>0.0</v>
      </c>
      <c r="AE59" s="43">
        <v>0.0</v>
      </c>
      <c r="AF59" s="43">
        <v>1.0</v>
      </c>
      <c r="AG59" s="43">
        <v>0.0</v>
      </c>
    </row>
    <row r="60">
      <c r="A60" s="32" t="s">
        <v>98</v>
      </c>
      <c r="B60" s="33" t="s">
        <v>151</v>
      </c>
      <c r="C60" s="34" t="s">
        <v>153</v>
      </c>
      <c r="D60" s="35" t="s">
        <v>89</v>
      </c>
      <c r="E60" s="43">
        <v>35.0</v>
      </c>
      <c r="F60" s="43">
        <v>11.0</v>
      </c>
      <c r="G60" s="43">
        <v>385.0</v>
      </c>
      <c r="H60" s="43">
        <v>3.0</v>
      </c>
      <c r="I60" s="43">
        <v>4.0</v>
      </c>
      <c r="J60" s="43">
        <v>1.0</v>
      </c>
      <c r="K60" s="43">
        <v>385.0</v>
      </c>
      <c r="L60" s="43">
        <v>0.0</v>
      </c>
      <c r="M60" s="43">
        <v>24.0</v>
      </c>
      <c r="N60" s="43">
        <v>4.0</v>
      </c>
      <c r="O60" s="43">
        <v>1.0</v>
      </c>
      <c r="P60" s="43">
        <v>92.0</v>
      </c>
      <c r="Q60" s="43">
        <v>0.0</v>
      </c>
      <c r="R60" s="43">
        <v>28.0</v>
      </c>
      <c r="S60" s="43">
        <v>7.0</v>
      </c>
      <c r="T60" s="43">
        <v>30.0</v>
      </c>
      <c r="U60" s="43">
        <v>30.0</v>
      </c>
      <c r="V60" s="35">
        <f t="shared" si="3"/>
        <v>120</v>
      </c>
      <c r="W60" s="44">
        <v>1.0</v>
      </c>
      <c r="X60" s="43">
        <v>0.0</v>
      </c>
      <c r="Y60" s="43">
        <v>3.0</v>
      </c>
      <c r="Z60" s="43">
        <v>2.0</v>
      </c>
      <c r="AA60" s="43">
        <v>0.0</v>
      </c>
      <c r="AB60" s="43">
        <v>0.0</v>
      </c>
      <c r="AC60" s="43">
        <v>0.0</v>
      </c>
      <c r="AD60" s="43">
        <v>0.0</v>
      </c>
      <c r="AE60" s="43">
        <v>0.0</v>
      </c>
      <c r="AF60" s="43">
        <v>1.0</v>
      </c>
      <c r="AG60" s="43">
        <v>0.0</v>
      </c>
    </row>
    <row r="61">
      <c r="A61" s="32" t="s">
        <v>98</v>
      </c>
      <c r="B61" s="33" t="s">
        <v>151</v>
      </c>
      <c r="C61" s="45" t="s">
        <v>154</v>
      </c>
      <c r="D61" s="36" t="s">
        <v>89</v>
      </c>
      <c r="E61" s="46">
        <v>30.0</v>
      </c>
      <c r="F61" s="46">
        <v>11.0</v>
      </c>
      <c r="G61" s="46">
        <v>330.0</v>
      </c>
      <c r="H61" s="46">
        <v>6.0</v>
      </c>
      <c r="I61" s="46">
        <v>5.0</v>
      </c>
      <c r="J61" s="46">
        <v>2.0</v>
      </c>
      <c r="K61" s="46">
        <v>330.0</v>
      </c>
      <c r="L61" s="46">
        <v>0.0</v>
      </c>
      <c r="M61" s="46">
        <v>27.0</v>
      </c>
      <c r="N61" s="46">
        <v>5.0</v>
      </c>
      <c r="O61" s="46">
        <v>1.0</v>
      </c>
      <c r="P61" s="46">
        <v>82.0</v>
      </c>
      <c r="Q61" s="43">
        <v>11.0</v>
      </c>
      <c r="R61" s="43">
        <v>28.0</v>
      </c>
      <c r="S61" s="43">
        <v>7.0</v>
      </c>
      <c r="T61" s="43">
        <v>16.0</v>
      </c>
      <c r="U61" s="43">
        <v>16.0</v>
      </c>
      <c r="V61" s="35">
        <f t="shared" si="3"/>
        <v>110</v>
      </c>
      <c r="W61" s="44">
        <v>1.0</v>
      </c>
      <c r="X61" s="46">
        <v>1.0</v>
      </c>
      <c r="Y61" s="46">
        <v>17.0</v>
      </c>
      <c r="Z61" s="46">
        <v>2.0</v>
      </c>
      <c r="AA61" s="46">
        <v>0.0</v>
      </c>
      <c r="AB61" s="46">
        <v>0.0</v>
      </c>
      <c r="AC61" s="46">
        <v>0.0</v>
      </c>
      <c r="AD61" s="46">
        <v>0.0</v>
      </c>
      <c r="AE61" s="46">
        <v>0.0</v>
      </c>
      <c r="AF61" s="46">
        <v>2.0</v>
      </c>
      <c r="AG61" s="46">
        <v>0.0</v>
      </c>
    </row>
    <row r="62">
      <c r="A62" s="32" t="s">
        <v>98</v>
      </c>
      <c r="B62" s="33" t="s">
        <v>151</v>
      </c>
      <c r="C62" s="34" t="s">
        <v>155</v>
      </c>
      <c r="D62" s="35" t="s">
        <v>89</v>
      </c>
      <c r="E62" s="43">
        <v>35.0</v>
      </c>
      <c r="F62" s="43">
        <v>11.0</v>
      </c>
      <c r="G62" s="43">
        <v>385.0</v>
      </c>
      <c r="H62" s="43">
        <v>3.0</v>
      </c>
      <c r="I62" s="43">
        <v>4.0</v>
      </c>
      <c r="J62" s="43">
        <v>1.0</v>
      </c>
      <c r="K62" s="43">
        <v>385.0</v>
      </c>
      <c r="L62" s="43">
        <v>0.0</v>
      </c>
      <c r="M62" s="43">
        <v>24.0</v>
      </c>
      <c r="N62" s="43">
        <v>4.0</v>
      </c>
      <c r="O62" s="43">
        <v>1.0</v>
      </c>
      <c r="P62" s="43">
        <v>92.0</v>
      </c>
      <c r="Q62" s="43">
        <v>0.0</v>
      </c>
      <c r="R62" s="43">
        <v>28.0</v>
      </c>
      <c r="S62" s="43">
        <v>7.0</v>
      </c>
      <c r="T62" s="43">
        <v>30.0</v>
      </c>
      <c r="U62" s="43">
        <v>30.0</v>
      </c>
      <c r="V62" s="35">
        <f t="shared" si="3"/>
        <v>120</v>
      </c>
      <c r="W62" s="44">
        <v>1.0</v>
      </c>
      <c r="X62" s="43">
        <v>0.0</v>
      </c>
      <c r="Y62" s="43">
        <v>3.0</v>
      </c>
      <c r="Z62" s="43">
        <v>2.0</v>
      </c>
      <c r="AA62" s="43">
        <v>0.0</v>
      </c>
      <c r="AB62" s="43">
        <v>0.0</v>
      </c>
      <c r="AC62" s="43">
        <v>0.0</v>
      </c>
      <c r="AD62" s="43">
        <v>0.0</v>
      </c>
      <c r="AE62" s="43">
        <v>0.0</v>
      </c>
      <c r="AF62" s="43">
        <v>1.0</v>
      </c>
      <c r="AG62" s="43">
        <v>0.0</v>
      </c>
    </row>
    <row r="63">
      <c r="A63" s="32" t="s">
        <v>98</v>
      </c>
      <c r="B63" s="33" t="s">
        <v>151</v>
      </c>
      <c r="C63" s="45" t="s">
        <v>156</v>
      </c>
      <c r="D63" s="36" t="s">
        <v>89</v>
      </c>
      <c r="E63" s="46">
        <v>30.0</v>
      </c>
      <c r="F63" s="46">
        <v>11.0</v>
      </c>
      <c r="G63" s="46">
        <v>330.0</v>
      </c>
      <c r="H63" s="46">
        <v>6.0</v>
      </c>
      <c r="I63" s="46">
        <v>5.0</v>
      </c>
      <c r="J63" s="46">
        <v>2.0</v>
      </c>
      <c r="K63" s="46">
        <v>330.0</v>
      </c>
      <c r="L63" s="46">
        <v>0.0</v>
      </c>
      <c r="M63" s="46">
        <v>27.0</v>
      </c>
      <c r="N63" s="46">
        <v>5.0</v>
      </c>
      <c r="O63" s="46">
        <v>1.0</v>
      </c>
      <c r="P63" s="46">
        <v>82.0</v>
      </c>
      <c r="Q63" s="46">
        <v>11.0</v>
      </c>
      <c r="R63" s="46">
        <v>37.0</v>
      </c>
      <c r="S63" s="46">
        <v>8.0</v>
      </c>
      <c r="T63" s="46">
        <v>16.0</v>
      </c>
      <c r="U63" s="46">
        <v>16.0</v>
      </c>
      <c r="V63" s="35">
        <f t="shared" si="3"/>
        <v>119</v>
      </c>
      <c r="W63" s="44">
        <v>1.0</v>
      </c>
      <c r="X63" s="46">
        <v>1.0</v>
      </c>
      <c r="Y63" s="46">
        <v>17.0</v>
      </c>
      <c r="Z63" s="46">
        <v>2.0</v>
      </c>
      <c r="AA63" s="46">
        <v>0.0</v>
      </c>
      <c r="AB63" s="46">
        <v>0.0</v>
      </c>
      <c r="AC63" s="46">
        <v>0.0</v>
      </c>
      <c r="AD63" s="46">
        <v>0.0</v>
      </c>
      <c r="AE63" s="46">
        <v>0.0</v>
      </c>
      <c r="AF63" s="46">
        <v>2.0</v>
      </c>
      <c r="AG63" s="46">
        <v>0.0</v>
      </c>
    </row>
    <row r="64">
      <c r="A64" s="32" t="s">
        <v>98</v>
      </c>
      <c r="B64" s="33" t="s">
        <v>151</v>
      </c>
      <c r="C64" s="34" t="s">
        <v>157</v>
      </c>
      <c r="D64" s="35" t="s">
        <v>89</v>
      </c>
      <c r="E64" s="43">
        <v>35.0</v>
      </c>
      <c r="F64" s="43">
        <v>11.0</v>
      </c>
      <c r="G64" s="43">
        <v>385.0</v>
      </c>
      <c r="H64" s="43">
        <v>3.0</v>
      </c>
      <c r="I64" s="43">
        <v>4.0</v>
      </c>
      <c r="J64" s="43">
        <v>1.0</v>
      </c>
      <c r="K64" s="43">
        <v>385.0</v>
      </c>
      <c r="L64" s="43">
        <v>0.0</v>
      </c>
      <c r="M64" s="43">
        <v>24.0</v>
      </c>
      <c r="N64" s="43">
        <v>4.0</v>
      </c>
      <c r="O64" s="43">
        <v>1.0</v>
      </c>
      <c r="P64" s="43">
        <v>92.0</v>
      </c>
      <c r="Q64" s="43">
        <v>0.0</v>
      </c>
      <c r="R64" s="43">
        <v>28.0</v>
      </c>
      <c r="S64" s="43">
        <v>7.0</v>
      </c>
      <c r="T64" s="43">
        <v>30.0</v>
      </c>
      <c r="U64" s="43">
        <v>30.0</v>
      </c>
      <c r="V64" s="35">
        <f t="shared" si="3"/>
        <v>120</v>
      </c>
      <c r="W64" s="44">
        <v>1.0</v>
      </c>
      <c r="X64" s="43">
        <v>0.0</v>
      </c>
      <c r="Y64" s="43">
        <v>3.0</v>
      </c>
      <c r="Z64" s="43">
        <v>2.0</v>
      </c>
      <c r="AA64" s="43">
        <v>0.0</v>
      </c>
      <c r="AB64" s="43">
        <v>0.0</v>
      </c>
      <c r="AC64" s="43">
        <v>0.0</v>
      </c>
      <c r="AD64" s="43">
        <v>0.0</v>
      </c>
      <c r="AE64" s="43">
        <v>0.0</v>
      </c>
      <c r="AF64" s="43">
        <v>1.0</v>
      </c>
      <c r="AG64" s="43">
        <v>0.0</v>
      </c>
    </row>
    <row r="65">
      <c r="A65" s="32" t="s">
        <v>98</v>
      </c>
      <c r="B65" s="33" t="s">
        <v>151</v>
      </c>
      <c r="C65" s="45" t="s">
        <v>158</v>
      </c>
      <c r="D65" s="36" t="s">
        <v>89</v>
      </c>
      <c r="E65" s="46">
        <v>35.0</v>
      </c>
      <c r="F65" s="46">
        <v>13.0</v>
      </c>
      <c r="G65" s="46">
        <v>455.0</v>
      </c>
      <c r="H65" s="46">
        <v>38.0</v>
      </c>
      <c r="I65" s="46">
        <v>1.0</v>
      </c>
      <c r="J65" s="46">
        <v>1.0</v>
      </c>
      <c r="K65" s="46">
        <v>455.0</v>
      </c>
      <c r="L65" s="46">
        <v>0.0</v>
      </c>
      <c r="M65" s="46">
        <v>31.0</v>
      </c>
      <c r="N65" s="46">
        <v>2.0</v>
      </c>
      <c r="O65" s="46">
        <v>0.0</v>
      </c>
      <c r="P65" s="46">
        <v>96.0</v>
      </c>
      <c r="Q65" s="46">
        <v>14.0</v>
      </c>
      <c r="R65" s="46">
        <v>0.0</v>
      </c>
      <c r="S65" s="46">
        <v>0.0</v>
      </c>
      <c r="T65" s="46">
        <v>35.0</v>
      </c>
      <c r="U65" s="46">
        <v>35.0</v>
      </c>
      <c r="V65" s="35">
        <f t="shared" si="3"/>
        <v>96</v>
      </c>
      <c r="W65" s="44">
        <v>1.0</v>
      </c>
      <c r="X65" s="46">
        <v>0.0</v>
      </c>
      <c r="Y65" s="46">
        <v>9.0</v>
      </c>
      <c r="Z65" s="46">
        <v>4.0</v>
      </c>
      <c r="AA65" s="46">
        <v>0.0</v>
      </c>
      <c r="AB65" s="46">
        <v>0.0</v>
      </c>
      <c r="AC65" s="46">
        <v>0.0</v>
      </c>
      <c r="AD65" s="46">
        <v>0.0</v>
      </c>
      <c r="AE65" s="46">
        <v>0.0</v>
      </c>
      <c r="AF65" s="46">
        <v>1.0</v>
      </c>
      <c r="AG65" s="46">
        <v>0.0</v>
      </c>
    </row>
    <row r="66">
      <c r="A66" s="32" t="s">
        <v>98</v>
      </c>
      <c r="B66" s="33" t="s">
        <v>151</v>
      </c>
      <c r="C66" s="34" t="s">
        <v>159</v>
      </c>
      <c r="D66" s="35" t="s">
        <v>89</v>
      </c>
      <c r="E66" s="46">
        <v>35.0</v>
      </c>
      <c r="F66" s="46">
        <v>13.0</v>
      </c>
      <c r="G66" s="46">
        <v>455.0</v>
      </c>
      <c r="H66" s="46">
        <v>38.0</v>
      </c>
      <c r="I66" s="46">
        <v>2.0</v>
      </c>
      <c r="J66" s="46">
        <v>1.0</v>
      </c>
      <c r="K66" s="46">
        <v>455.0</v>
      </c>
      <c r="L66" s="46">
        <v>0.0</v>
      </c>
      <c r="M66" s="46">
        <v>31.0</v>
      </c>
      <c r="N66" s="46">
        <v>2.0</v>
      </c>
      <c r="O66" s="46">
        <v>0.0</v>
      </c>
      <c r="P66" s="46">
        <v>96.0</v>
      </c>
      <c r="Q66" s="46">
        <v>13.0</v>
      </c>
      <c r="R66" s="46">
        <v>0.0</v>
      </c>
      <c r="S66" s="46">
        <v>0.0</v>
      </c>
      <c r="T66" s="46">
        <v>35.0</v>
      </c>
      <c r="U66" s="46">
        <v>35.0</v>
      </c>
      <c r="V66" s="35">
        <f t="shared" si="3"/>
        <v>96</v>
      </c>
      <c r="W66" s="44">
        <v>1.0</v>
      </c>
      <c r="X66" s="46">
        <v>1.0</v>
      </c>
      <c r="Y66" s="46">
        <v>9.0</v>
      </c>
      <c r="Z66" s="46">
        <v>4.0</v>
      </c>
      <c r="AA66" s="46">
        <v>0.0</v>
      </c>
      <c r="AB66" s="46">
        <v>0.0</v>
      </c>
      <c r="AC66" s="46">
        <v>0.0</v>
      </c>
      <c r="AD66" s="46">
        <v>0.0</v>
      </c>
      <c r="AE66" s="46">
        <v>0.0</v>
      </c>
      <c r="AF66" s="46">
        <v>1.0</v>
      </c>
      <c r="AG66" s="46">
        <v>0.0</v>
      </c>
    </row>
    <row r="67">
      <c r="A67" s="32" t="s">
        <v>98</v>
      </c>
      <c r="B67" s="33" t="s">
        <v>151</v>
      </c>
      <c r="C67" s="34" t="s">
        <v>160</v>
      </c>
      <c r="D67" s="35" t="s">
        <v>89</v>
      </c>
      <c r="E67" s="46">
        <v>35.0</v>
      </c>
      <c r="F67" s="46">
        <v>13.0</v>
      </c>
      <c r="G67" s="46">
        <v>455.0</v>
      </c>
      <c r="H67" s="46">
        <v>38.0</v>
      </c>
      <c r="I67" s="46">
        <v>2.0</v>
      </c>
      <c r="J67" s="46">
        <v>1.0</v>
      </c>
      <c r="K67" s="46">
        <v>455.0</v>
      </c>
      <c r="L67" s="46">
        <v>0.0</v>
      </c>
      <c r="M67" s="46">
        <v>31.0</v>
      </c>
      <c r="N67" s="46">
        <v>2.0</v>
      </c>
      <c r="O67" s="46">
        <v>0.0</v>
      </c>
      <c r="P67" s="46">
        <v>96.0</v>
      </c>
      <c r="Q67" s="46">
        <v>14.0</v>
      </c>
      <c r="R67" s="46">
        <v>0.0</v>
      </c>
      <c r="S67" s="46">
        <v>0.0</v>
      </c>
      <c r="T67" s="46">
        <v>35.0</v>
      </c>
      <c r="U67" s="46">
        <v>35.0</v>
      </c>
      <c r="V67" s="35">
        <f t="shared" si="3"/>
        <v>96</v>
      </c>
      <c r="W67" s="44">
        <v>1.0</v>
      </c>
      <c r="X67" s="46">
        <v>0.0</v>
      </c>
      <c r="Y67" s="46">
        <v>9.0</v>
      </c>
      <c r="Z67" s="46">
        <v>4.0</v>
      </c>
      <c r="AA67" s="46">
        <v>0.0</v>
      </c>
      <c r="AB67" s="46">
        <v>0.0</v>
      </c>
      <c r="AC67" s="46">
        <v>0.0</v>
      </c>
      <c r="AD67" s="46">
        <v>0.0</v>
      </c>
      <c r="AE67" s="46">
        <v>0.0</v>
      </c>
      <c r="AF67" s="46">
        <v>1.0</v>
      </c>
      <c r="AG67" s="46">
        <v>0.0</v>
      </c>
    </row>
    <row r="68">
      <c r="A68" s="32" t="s">
        <v>98</v>
      </c>
      <c r="B68" s="33" t="s">
        <v>151</v>
      </c>
      <c r="C68" s="34" t="s">
        <v>161</v>
      </c>
      <c r="D68" s="35" t="s">
        <v>89</v>
      </c>
      <c r="E68" s="46">
        <v>35.0</v>
      </c>
      <c r="F68" s="46">
        <v>13.0</v>
      </c>
      <c r="G68" s="46">
        <v>455.0</v>
      </c>
      <c r="H68" s="46">
        <v>38.0</v>
      </c>
      <c r="I68" s="46">
        <v>2.0</v>
      </c>
      <c r="J68" s="46">
        <v>1.0</v>
      </c>
      <c r="K68" s="46">
        <v>455.0</v>
      </c>
      <c r="L68" s="46">
        <v>0.0</v>
      </c>
      <c r="M68" s="46">
        <v>31.0</v>
      </c>
      <c r="N68" s="46">
        <v>2.0</v>
      </c>
      <c r="O68" s="46">
        <v>0.0</v>
      </c>
      <c r="P68" s="46">
        <v>96.0</v>
      </c>
      <c r="Q68" s="46">
        <v>13.0</v>
      </c>
      <c r="R68" s="46">
        <v>0.0</v>
      </c>
      <c r="S68" s="46">
        <v>0.0</v>
      </c>
      <c r="T68" s="46">
        <v>35.0</v>
      </c>
      <c r="U68" s="46">
        <v>35.0</v>
      </c>
      <c r="V68" s="35">
        <f t="shared" si="3"/>
        <v>96</v>
      </c>
      <c r="W68" s="44">
        <v>1.0</v>
      </c>
      <c r="X68" s="46">
        <v>1.0</v>
      </c>
      <c r="Y68" s="46">
        <v>9.0</v>
      </c>
      <c r="Z68" s="46">
        <v>4.0</v>
      </c>
      <c r="AA68" s="46">
        <v>0.0</v>
      </c>
      <c r="AB68" s="46">
        <v>0.0</v>
      </c>
      <c r="AC68" s="46">
        <v>0.0</v>
      </c>
      <c r="AD68" s="46">
        <v>0.0</v>
      </c>
      <c r="AE68" s="46">
        <v>0.0</v>
      </c>
      <c r="AF68" s="46">
        <v>1.0</v>
      </c>
      <c r="AG68" s="46">
        <v>0.0</v>
      </c>
    </row>
    <row r="69">
      <c r="A69" s="32" t="s">
        <v>98</v>
      </c>
      <c r="B69" s="33" t="s">
        <v>151</v>
      </c>
      <c r="C69" s="34" t="s">
        <v>162</v>
      </c>
      <c r="D69" s="35" t="s">
        <v>89</v>
      </c>
      <c r="E69" s="46">
        <v>35.0</v>
      </c>
      <c r="F69" s="46">
        <v>13.0</v>
      </c>
      <c r="G69" s="46">
        <v>455.0</v>
      </c>
      <c r="H69" s="46">
        <v>38.0</v>
      </c>
      <c r="I69" s="46">
        <v>2.0</v>
      </c>
      <c r="J69" s="46">
        <v>1.0</v>
      </c>
      <c r="K69" s="46">
        <v>455.0</v>
      </c>
      <c r="L69" s="46">
        <v>0.0</v>
      </c>
      <c r="M69" s="46">
        <v>31.0</v>
      </c>
      <c r="N69" s="46">
        <v>2.0</v>
      </c>
      <c r="O69" s="46">
        <v>0.0</v>
      </c>
      <c r="P69" s="46">
        <v>96.0</v>
      </c>
      <c r="Q69" s="46">
        <v>14.0</v>
      </c>
      <c r="R69" s="46">
        <v>0.0</v>
      </c>
      <c r="S69" s="46">
        <v>0.0</v>
      </c>
      <c r="T69" s="46">
        <v>35.0</v>
      </c>
      <c r="U69" s="46">
        <v>35.0</v>
      </c>
      <c r="V69" s="35">
        <f t="shared" si="3"/>
        <v>96</v>
      </c>
      <c r="W69" s="44">
        <v>1.0</v>
      </c>
      <c r="X69" s="46">
        <v>0.0</v>
      </c>
      <c r="Y69" s="46">
        <v>9.0</v>
      </c>
      <c r="Z69" s="46">
        <v>4.0</v>
      </c>
      <c r="AA69" s="46">
        <v>0.0</v>
      </c>
      <c r="AB69" s="46">
        <v>0.0</v>
      </c>
      <c r="AC69" s="46">
        <v>0.0</v>
      </c>
      <c r="AD69" s="46">
        <v>0.0</v>
      </c>
      <c r="AE69" s="46">
        <v>0.0</v>
      </c>
      <c r="AF69" s="46">
        <v>1.0</v>
      </c>
      <c r="AG69" s="46">
        <v>0.0</v>
      </c>
    </row>
    <row r="70">
      <c r="A70" s="32" t="s">
        <v>98</v>
      </c>
      <c r="B70" s="33" t="s">
        <v>151</v>
      </c>
      <c r="C70" s="34" t="s">
        <v>163</v>
      </c>
      <c r="D70" s="35" t="s">
        <v>89</v>
      </c>
      <c r="E70" s="46">
        <v>35.0</v>
      </c>
      <c r="F70" s="46">
        <v>13.0</v>
      </c>
      <c r="G70" s="46">
        <v>455.0</v>
      </c>
      <c r="H70" s="46">
        <v>38.0</v>
      </c>
      <c r="I70" s="46">
        <v>2.0</v>
      </c>
      <c r="J70" s="46">
        <v>1.0</v>
      </c>
      <c r="K70" s="46">
        <v>455.0</v>
      </c>
      <c r="L70" s="46">
        <v>0.0</v>
      </c>
      <c r="M70" s="46">
        <v>31.0</v>
      </c>
      <c r="N70" s="46">
        <v>2.0</v>
      </c>
      <c r="O70" s="46">
        <v>0.0</v>
      </c>
      <c r="P70" s="46">
        <v>96.0</v>
      </c>
      <c r="Q70" s="46">
        <v>13.0</v>
      </c>
      <c r="R70" s="46">
        <v>0.0</v>
      </c>
      <c r="S70" s="46">
        <v>0.0</v>
      </c>
      <c r="T70" s="46">
        <v>35.0</v>
      </c>
      <c r="U70" s="46">
        <v>35.0</v>
      </c>
      <c r="V70" s="35">
        <f t="shared" si="3"/>
        <v>96</v>
      </c>
      <c r="W70" s="44">
        <v>1.0</v>
      </c>
      <c r="X70" s="46">
        <v>1.0</v>
      </c>
      <c r="Y70" s="46">
        <v>9.0</v>
      </c>
      <c r="Z70" s="46">
        <v>4.0</v>
      </c>
      <c r="AA70" s="46">
        <v>0.0</v>
      </c>
      <c r="AB70" s="46">
        <v>0.0</v>
      </c>
      <c r="AC70" s="46">
        <v>0.0</v>
      </c>
      <c r="AD70" s="46">
        <v>0.0</v>
      </c>
      <c r="AE70" s="46">
        <v>0.0</v>
      </c>
      <c r="AF70" s="46">
        <v>1.0</v>
      </c>
      <c r="AG70" s="46">
        <v>0.0</v>
      </c>
    </row>
    <row r="71">
      <c r="A71" s="32" t="s">
        <v>98</v>
      </c>
      <c r="B71" s="33" t="s">
        <v>164</v>
      </c>
      <c r="C71" s="34" t="s">
        <v>165</v>
      </c>
      <c r="D71" s="35" t="s">
        <v>89</v>
      </c>
      <c r="E71" s="43">
        <v>35.0</v>
      </c>
      <c r="F71" s="43">
        <v>15.0</v>
      </c>
      <c r="G71" s="43">
        <v>552.0</v>
      </c>
      <c r="H71" s="43">
        <v>29.0</v>
      </c>
      <c r="I71" s="43">
        <v>4.0</v>
      </c>
      <c r="J71" s="43">
        <v>1.0</v>
      </c>
      <c r="K71" s="43">
        <v>552.0</v>
      </c>
      <c r="L71" s="43">
        <v>0.0</v>
      </c>
      <c r="M71" s="43">
        <v>36.0</v>
      </c>
      <c r="N71" s="43">
        <v>6.0</v>
      </c>
      <c r="O71" s="43">
        <v>1.0</v>
      </c>
      <c r="P71" s="43">
        <v>100.0</v>
      </c>
      <c r="Q71" s="43">
        <v>15.0</v>
      </c>
      <c r="R71" s="43">
        <v>37.0</v>
      </c>
      <c r="S71" s="43">
        <v>9.0</v>
      </c>
      <c r="T71" s="43">
        <v>70.0</v>
      </c>
      <c r="U71" s="43">
        <v>70.0</v>
      </c>
      <c r="V71" s="35">
        <f t="shared" si="3"/>
        <v>137</v>
      </c>
      <c r="W71" s="44">
        <v>1.0</v>
      </c>
      <c r="X71" s="43">
        <v>1.0</v>
      </c>
      <c r="Y71" s="43">
        <v>94.0</v>
      </c>
      <c r="Z71" s="43">
        <v>6.0</v>
      </c>
      <c r="AA71" s="43">
        <v>0.0</v>
      </c>
      <c r="AB71" s="43">
        <v>0.0</v>
      </c>
      <c r="AC71" s="43">
        <v>0.0</v>
      </c>
      <c r="AD71" s="43">
        <v>0.0</v>
      </c>
      <c r="AE71" s="43">
        <v>0.0</v>
      </c>
      <c r="AF71" s="43">
        <v>2.0</v>
      </c>
      <c r="AG71" s="43">
        <v>0.0</v>
      </c>
    </row>
    <row r="72">
      <c r="A72" s="32" t="s">
        <v>98</v>
      </c>
      <c r="B72" s="33" t="s">
        <v>164</v>
      </c>
      <c r="C72" s="34" t="s">
        <v>166</v>
      </c>
      <c r="D72" s="35" t="s">
        <v>89</v>
      </c>
      <c r="E72" s="43">
        <v>35.0</v>
      </c>
      <c r="F72" s="43">
        <v>15.0</v>
      </c>
      <c r="G72" s="43">
        <v>552.0</v>
      </c>
      <c r="H72" s="43">
        <v>29.0</v>
      </c>
      <c r="I72" s="43">
        <v>4.0</v>
      </c>
      <c r="J72" s="43">
        <v>1.0</v>
      </c>
      <c r="K72" s="43">
        <v>552.0</v>
      </c>
      <c r="L72" s="43">
        <v>0.0</v>
      </c>
      <c r="M72" s="43">
        <v>36.0</v>
      </c>
      <c r="N72" s="43">
        <v>6.0</v>
      </c>
      <c r="O72" s="43">
        <v>1.0</v>
      </c>
      <c r="P72" s="43">
        <v>100.0</v>
      </c>
      <c r="Q72" s="43">
        <v>15.0</v>
      </c>
      <c r="R72" s="43">
        <v>37.0</v>
      </c>
      <c r="S72" s="43">
        <v>9.0</v>
      </c>
      <c r="T72" s="43">
        <v>70.0</v>
      </c>
      <c r="U72" s="43">
        <v>70.0</v>
      </c>
      <c r="V72" s="35">
        <f t="shared" si="3"/>
        <v>137</v>
      </c>
      <c r="W72" s="44">
        <v>1.0</v>
      </c>
      <c r="X72" s="43">
        <v>1.0</v>
      </c>
      <c r="Y72" s="43">
        <v>94.0</v>
      </c>
      <c r="Z72" s="43">
        <v>6.0</v>
      </c>
      <c r="AA72" s="43">
        <v>0.0</v>
      </c>
      <c r="AB72" s="43">
        <v>0.0</v>
      </c>
      <c r="AC72" s="43">
        <v>0.0</v>
      </c>
      <c r="AD72" s="43">
        <v>0.0</v>
      </c>
      <c r="AE72" s="43">
        <v>0.0</v>
      </c>
      <c r="AF72" s="43">
        <v>2.0</v>
      </c>
      <c r="AG72" s="43">
        <v>0.0</v>
      </c>
    </row>
    <row r="73">
      <c r="A73" s="32" t="s">
        <v>98</v>
      </c>
      <c r="B73" s="33" t="s">
        <v>164</v>
      </c>
      <c r="C73" s="34" t="s">
        <v>167</v>
      </c>
      <c r="D73" s="43" t="s">
        <v>89</v>
      </c>
      <c r="E73" s="43">
        <v>35.0</v>
      </c>
      <c r="F73" s="43">
        <v>15.0</v>
      </c>
      <c r="G73" s="43">
        <v>552.0</v>
      </c>
      <c r="H73" s="43">
        <v>29.0</v>
      </c>
      <c r="I73" s="43">
        <v>4.0</v>
      </c>
      <c r="J73" s="43">
        <v>1.0</v>
      </c>
      <c r="K73" s="43">
        <v>552.0</v>
      </c>
      <c r="L73" s="43">
        <v>0.0</v>
      </c>
      <c r="M73" s="43">
        <v>36.0</v>
      </c>
      <c r="N73" s="43">
        <v>6.0</v>
      </c>
      <c r="O73" s="43">
        <v>1.0</v>
      </c>
      <c r="P73" s="43">
        <v>100.0</v>
      </c>
      <c r="Q73" s="43">
        <v>15.0</v>
      </c>
      <c r="R73" s="43">
        <v>37.0</v>
      </c>
      <c r="S73" s="43">
        <v>9.0</v>
      </c>
      <c r="T73" s="43">
        <v>70.0</v>
      </c>
      <c r="U73" s="43">
        <v>70.0</v>
      </c>
      <c r="V73" s="35">
        <f t="shared" si="3"/>
        <v>137</v>
      </c>
      <c r="W73" s="44">
        <v>1.0</v>
      </c>
      <c r="X73" s="43">
        <v>1.0</v>
      </c>
      <c r="Y73" s="43">
        <v>94.0</v>
      </c>
      <c r="Z73" s="43">
        <v>6.0</v>
      </c>
      <c r="AA73" s="43">
        <v>0.0</v>
      </c>
      <c r="AB73" s="43">
        <v>0.0</v>
      </c>
      <c r="AC73" s="43">
        <v>0.0</v>
      </c>
      <c r="AD73" s="43">
        <v>0.0</v>
      </c>
      <c r="AE73" s="43">
        <v>0.0</v>
      </c>
      <c r="AF73" s="43">
        <v>2.0</v>
      </c>
      <c r="AG73" s="43">
        <v>0.0</v>
      </c>
    </row>
    <row r="74">
      <c r="A74" s="47"/>
      <c r="B74" s="47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9"/>
      <c r="X74" s="48"/>
      <c r="Y74" s="48"/>
      <c r="Z74" s="48"/>
      <c r="AA74" s="48"/>
      <c r="AB74" s="48"/>
      <c r="AC74" s="48"/>
      <c r="AD74" s="48"/>
      <c r="AE74" s="48"/>
      <c r="AF74" s="48"/>
      <c r="AG74" s="48"/>
    </row>
    <row r="75">
      <c r="A75" s="47"/>
      <c r="B75" s="47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9"/>
      <c r="X75" s="48"/>
      <c r="Y75" s="48"/>
      <c r="Z75" s="48"/>
      <c r="AA75" s="48"/>
      <c r="AB75" s="48"/>
      <c r="AC75" s="48"/>
      <c r="AD75" s="48"/>
      <c r="AE75" s="48"/>
      <c r="AF75" s="48"/>
      <c r="AG75" s="48"/>
    </row>
    <row r="76">
      <c r="A76" s="47"/>
      <c r="B76" s="47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9"/>
      <c r="X76" s="48"/>
      <c r="Y76" s="48"/>
      <c r="Z76" s="48"/>
      <c r="AA76" s="48"/>
      <c r="AB76" s="48"/>
      <c r="AC76" s="48"/>
      <c r="AD76" s="48"/>
      <c r="AE76" s="48"/>
      <c r="AF76" s="48"/>
      <c r="AG76" s="48"/>
    </row>
    <row r="77">
      <c r="A77" s="47"/>
      <c r="B77" s="47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9"/>
      <c r="X77" s="48"/>
      <c r="Y77" s="48"/>
      <c r="Z77" s="48"/>
      <c r="AA77" s="48"/>
      <c r="AB77" s="48"/>
      <c r="AC77" s="48"/>
      <c r="AD77" s="48"/>
      <c r="AE77" s="48"/>
      <c r="AF77" s="48"/>
      <c r="AG77" s="48"/>
    </row>
    <row r="78">
      <c r="A78" s="47"/>
      <c r="B78" s="47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9"/>
      <c r="X78" s="48"/>
      <c r="Y78" s="48"/>
      <c r="Z78" s="48"/>
      <c r="AA78" s="48"/>
      <c r="AB78" s="48"/>
      <c r="AC78" s="48"/>
      <c r="AD78" s="48"/>
      <c r="AE78" s="48"/>
      <c r="AF78" s="48"/>
      <c r="AG78" s="48"/>
    </row>
    <row r="79">
      <c r="A79" s="47"/>
      <c r="B79" s="47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9"/>
      <c r="X79" s="48"/>
      <c r="Y79" s="48"/>
      <c r="Z79" s="48"/>
      <c r="AA79" s="48"/>
      <c r="AB79" s="48"/>
      <c r="AC79" s="48"/>
      <c r="AD79" s="48"/>
      <c r="AE79" s="48"/>
      <c r="AF79" s="48"/>
      <c r="AG79" s="48"/>
    </row>
    <row r="80">
      <c r="A80" s="47"/>
      <c r="B80" s="47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9"/>
      <c r="X80" s="48"/>
      <c r="Y80" s="48"/>
      <c r="Z80" s="48"/>
      <c r="AA80" s="48"/>
      <c r="AB80" s="48"/>
      <c r="AC80" s="48"/>
      <c r="AD80" s="48"/>
      <c r="AE80" s="48"/>
      <c r="AF80" s="48"/>
      <c r="AG80" s="48"/>
    </row>
    <row r="81">
      <c r="A81" s="47"/>
      <c r="B81" s="47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9"/>
      <c r="X81" s="48"/>
      <c r="Y81" s="48"/>
      <c r="Z81" s="48"/>
      <c r="AA81" s="48"/>
      <c r="AB81" s="48"/>
      <c r="AC81" s="48"/>
      <c r="AD81" s="48"/>
      <c r="AE81" s="48"/>
      <c r="AF81" s="48"/>
      <c r="AG81" s="48"/>
    </row>
    <row r="82">
      <c r="A82" s="47"/>
      <c r="B82" s="47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9"/>
      <c r="X82" s="48"/>
      <c r="Y82" s="48"/>
      <c r="Z82" s="48"/>
      <c r="AA82" s="48"/>
      <c r="AB82" s="48"/>
      <c r="AC82" s="48"/>
      <c r="AD82" s="48"/>
      <c r="AE82" s="48"/>
      <c r="AF82" s="48"/>
      <c r="AG82" s="48"/>
    </row>
    <row r="83">
      <c r="A83" s="47"/>
      <c r="B83" s="47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9"/>
      <c r="X83" s="48"/>
      <c r="Y83" s="48"/>
      <c r="Z83" s="48"/>
      <c r="AA83" s="48"/>
      <c r="AB83" s="48"/>
      <c r="AC83" s="48"/>
      <c r="AD83" s="48"/>
      <c r="AE83" s="48"/>
      <c r="AF83" s="48"/>
      <c r="AG83" s="48"/>
    </row>
    <row r="84">
      <c r="A84" s="47"/>
      <c r="B84" s="47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9"/>
      <c r="X84" s="48"/>
      <c r="Y84" s="48"/>
      <c r="Z84" s="48"/>
      <c r="AA84" s="48"/>
      <c r="AB84" s="48"/>
      <c r="AC84" s="48"/>
      <c r="AD84" s="48"/>
      <c r="AE84" s="48"/>
      <c r="AF84" s="48"/>
      <c r="AG84" s="48"/>
    </row>
    <row r="85">
      <c r="A85" s="47"/>
      <c r="B85" s="47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9"/>
      <c r="X85" s="48"/>
      <c r="Y85" s="48"/>
      <c r="Z85" s="48"/>
      <c r="AA85" s="48"/>
      <c r="AB85" s="48"/>
      <c r="AC85" s="48"/>
      <c r="AD85" s="48"/>
      <c r="AE85" s="48"/>
      <c r="AF85" s="48"/>
      <c r="AG85" s="48"/>
    </row>
    <row r="86">
      <c r="A86" s="47"/>
      <c r="B86" s="47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9"/>
      <c r="X86" s="48"/>
      <c r="Y86" s="48"/>
      <c r="Z86" s="48"/>
      <c r="AA86" s="48"/>
      <c r="AB86" s="48"/>
      <c r="AC86" s="48"/>
      <c r="AD86" s="48"/>
      <c r="AE86" s="48"/>
      <c r="AF86" s="48"/>
      <c r="AG86" s="48"/>
    </row>
    <row r="87">
      <c r="A87" s="47"/>
      <c r="B87" s="47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9"/>
      <c r="X87" s="48"/>
      <c r="Y87" s="48"/>
      <c r="Z87" s="48"/>
      <c r="AA87" s="48"/>
      <c r="AB87" s="48"/>
      <c r="AC87" s="48"/>
      <c r="AD87" s="48"/>
      <c r="AE87" s="48"/>
      <c r="AF87" s="48"/>
      <c r="AG87" s="48"/>
    </row>
    <row r="88">
      <c r="A88" s="47"/>
      <c r="B88" s="47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9"/>
      <c r="X88" s="48"/>
      <c r="Y88" s="48"/>
      <c r="Z88" s="48"/>
      <c r="AA88" s="48"/>
      <c r="AB88" s="48"/>
      <c r="AC88" s="48"/>
      <c r="AD88" s="48"/>
      <c r="AE88" s="48"/>
      <c r="AF88" s="48"/>
      <c r="AG88" s="48"/>
    </row>
    <row r="89">
      <c r="A89" s="47"/>
      <c r="B89" s="47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9"/>
      <c r="X89" s="48"/>
      <c r="Y89" s="48"/>
      <c r="Z89" s="48"/>
      <c r="AA89" s="48"/>
      <c r="AB89" s="48"/>
      <c r="AC89" s="48"/>
      <c r="AD89" s="48"/>
      <c r="AE89" s="48"/>
      <c r="AF89" s="48"/>
      <c r="AG89" s="48"/>
    </row>
    <row r="90">
      <c r="A90" s="47"/>
      <c r="B90" s="47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9"/>
      <c r="X90" s="48"/>
      <c r="Y90" s="48"/>
      <c r="Z90" s="48"/>
      <c r="AA90" s="48"/>
      <c r="AB90" s="48"/>
      <c r="AC90" s="48"/>
      <c r="AD90" s="48"/>
      <c r="AE90" s="48"/>
      <c r="AF90" s="48"/>
      <c r="AG90" s="48"/>
    </row>
    <row r="91">
      <c r="A91" s="47"/>
      <c r="B91" s="47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9"/>
      <c r="X91" s="48"/>
      <c r="Y91" s="48"/>
      <c r="Z91" s="48"/>
      <c r="AA91" s="48"/>
      <c r="AB91" s="48"/>
      <c r="AC91" s="48"/>
      <c r="AD91" s="48"/>
      <c r="AE91" s="48"/>
      <c r="AF91" s="48"/>
      <c r="AG91" s="48"/>
    </row>
    <row r="92">
      <c r="A92" s="47"/>
      <c r="B92" s="47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9"/>
      <c r="X92" s="48"/>
      <c r="Y92" s="48"/>
      <c r="Z92" s="48"/>
      <c r="AA92" s="48"/>
      <c r="AB92" s="48"/>
      <c r="AC92" s="48"/>
      <c r="AD92" s="48"/>
      <c r="AE92" s="48"/>
      <c r="AF92" s="48"/>
      <c r="AG92" s="48"/>
    </row>
    <row r="93">
      <c r="A93" s="47"/>
      <c r="B93" s="47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9"/>
      <c r="X93" s="48"/>
      <c r="Y93" s="48"/>
      <c r="Z93" s="48"/>
      <c r="AA93" s="48"/>
      <c r="AB93" s="48"/>
      <c r="AC93" s="48"/>
      <c r="AD93" s="48"/>
      <c r="AE93" s="48"/>
      <c r="AF93" s="48"/>
      <c r="AG93" s="48"/>
    </row>
    <row r="94">
      <c r="A94" s="47"/>
      <c r="B94" s="47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9"/>
      <c r="X94" s="48"/>
      <c r="Y94" s="48"/>
      <c r="Z94" s="48"/>
      <c r="AA94" s="48"/>
      <c r="AB94" s="48"/>
      <c r="AC94" s="48"/>
      <c r="AD94" s="48"/>
      <c r="AE94" s="48"/>
      <c r="AF94" s="48"/>
      <c r="AG94" s="48"/>
    </row>
    <row r="95">
      <c r="A95" s="47"/>
      <c r="B95" s="47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9"/>
      <c r="X95" s="48"/>
      <c r="Y95" s="48"/>
      <c r="Z95" s="48"/>
      <c r="AA95" s="48"/>
      <c r="AB95" s="48"/>
      <c r="AC95" s="48"/>
      <c r="AD95" s="48"/>
      <c r="AE95" s="48"/>
      <c r="AF95" s="48"/>
      <c r="AG95" s="48"/>
    </row>
    <row r="96">
      <c r="A96" s="47"/>
      <c r="B96" s="47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9"/>
      <c r="X96" s="48"/>
      <c r="Y96" s="48"/>
      <c r="Z96" s="48"/>
      <c r="AA96" s="48"/>
      <c r="AB96" s="48"/>
      <c r="AC96" s="48"/>
      <c r="AD96" s="48"/>
      <c r="AE96" s="48"/>
      <c r="AF96" s="48"/>
      <c r="AG96" s="48"/>
    </row>
    <row r="97">
      <c r="A97" s="47"/>
      <c r="B97" s="47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9"/>
      <c r="X97" s="48"/>
      <c r="Y97" s="48"/>
      <c r="Z97" s="48"/>
      <c r="AA97" s="48"/>
      <c r="AB97" s="48"/>
      <c r="AC97" s="48"/>
      <c r="AD97" s="48"/>
      <c r="AE97" s="48"/>
      <c r="AF97" s="48"/>
      <c r="AG97" s="48"/>
    </row>
    <row r="98">
      <c r="A98" s="47"/>
      <c r="B98" s="47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9"/>
      <c r="X98" s="48"/>
      <c r="Y98" s="48"/>
      <c r="Z98" s="48"/>
      <c r="AA98" s="48"/>
      <c r="AB98" s="48"/>
      <c r="AC98" s="48"/>
      <c r="AD98" s="48"/>
      <c r="AE98" s="48"/>
      <c r="AF98" s="48"/>
      <c r="AG98" s="48"/>
    </row>
    <row r="99">
      <c r="A99" s="47"/>
      <c r="B99" s="47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9"/>
      <c r="X99" s="48"/>
      <c r="Y99" s="48"/>
      <c r="Z99" s="48"/>
      <c r="AA99" s="48"/>
      <c r="AB99" s="48"/>
      <c r="AC99" s="48"/>
      <c r="AD99" s="48"/>
      <c r="AE99" s="48"/>
      <c r="AF99" s="48"/>
      <c r="AG99" s="48"/>
    </row>
    <row r="100">
      <c r="A100" s="47"/>
      <c r="B100" s="47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9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</row>
    <row r="101">
      <c r="A101" s="47"/>
      <c r="B101" s="47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9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</row>
    <row r="102">
      <c r="A102" s="47"/>
      <c r="B102" s="47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9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</row>
    <row r="103">
      <c r="A103" s="47"/>
      <c r="B103" s="47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9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</row>
    <row r="104">
      <c r="A104" s="47"/>
      <c r="B104" s="47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9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</row>
    <row r="105">
      <c r="A105" s="47"/>
      <c r="B105" s="47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9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</row>
    <row r="106">
      <c r="A106" s="47"/>
      <c r="B106" s="47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9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</row>
    <row r="107">
      <c r="A107" s="47"/>
      <c r="B107" s="47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9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</row>
    <row r="108">
      <c r="A108" s="47"/>
      <c r="B108" s="47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9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</row>
    <row r="109">
      <c r="A109" s="47"/>
      <c r="B109" s="47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9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</row>
    <row r="110">
      <c r="A110" s="47"/>
      <c r="B110" s="47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9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</row>
    <row r="111">
      <c r="A111" s="47"/>
      <c r="B111" s="47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9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</row>
    <row r="112">
      <c r="A112" s="47"/>
      <c r="B112" s="47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9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</row>
    <row r="113">
      <c r="A113" s="47"/>
      <c r="B113" s="47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9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</row>
    <row r="114">
      <c r="A114" s="47"/>
      <c r="B114" s="47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9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</row>
    <row r="115">
      <c r="A115" s="47"/>
      <c r="B115" s="47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9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</row>
    <row r="116">
      <c r="A116" s="47"/>
      <c r="B116" s="47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9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</row>
    <row r="117">
      <c r="A117" s="47"/>
      <c r="B117" s="47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9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</row>
    <row r="118">
      <c r="A118" s="47"/>
      <c r="B118" s="47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9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</row>
    <row r="119">
      <c r="A119" s="47"/>
      <c r="B119" s="47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9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</row>
    <row r="120">
      <c r="A120" s="47"/>
      <c r="B120" s="47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9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</row>
    <row r="121">
      <c r="A121" s="47"/>
      <c r="B121" s="47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9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</row>
    <row r="122">
      <c r="A122" s="47"/>
      <c r="B122" s="47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9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</row>
    <row r="123">
      <c r="A123" s="47"/>
      <c r="B123" s="47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9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</row>
    <row r="124">
      <c r="A124" s="47"/>
      <c r="B124" s="47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9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</row>
    <row r="125">
      <c r="A125" s="47"/>
      <c r="B125" s="47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9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</row>
    <row r="126">
      <c r="A126" s="47"/>
      <c r="B126" s="47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9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</row>
    <row r="127">
      <c r="A127" s="47"/>
      <c r="B127" s="47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9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</row>
    <row r="128">
      <c r="A128" s="47"/>
      <c r="B128" s="47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9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</row>
    <row r="129">
      <c r="A129" s="47"/>
      <c r="B129" s="47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9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</row>
    <row r="130">
      <c r="A130" s="47"/>
      <c r="B130" s="47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9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</row>
    <row r="131">
      <c r="A131" s="47"/>
      <c r="B131" s="47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9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</row>
    <row r="132">
      <c r="A132" s="47"/>
      <c r="B132" s="47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9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</row>
    <row r="133">
      <c r="A133" s="47"/>
      <c r="B133" s="47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9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</row>
    <row r="134">
      <c r="A134" s="47"/>
      <c r="B134" s="47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9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</row>
    <row r="135">
      <c r="A135" s="47"/>
      <c r="B135" s="47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9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</row>
    <row r="136">
      <c r="A136" s="47"/>
      <c r="B136" s="47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9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</row>
    <row r="137">
      <c r="A137" s="47"/>
      <c r="B137" s="47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9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</row>
    <row r="138">
      <c r="A138" s="47"/>
      <c r="B138" s="47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9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</row>
    <row r="139">
      <c r="A139" s="47"/>
      <c r="B139" s="47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9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</row>
    <row r="140">
      <c r="A140" s="47"/>
      <c r="B140" s="47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9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</row>
    <row r="141">
      <c r="A141" s="47"/>
      <c r="B141" s="47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9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</row>
    <row r="142">
      <c r="A142" s="47"/>
      <c r="B142" s="47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9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</row>
    <row r="143">
      <c r="A143" s="47"/>
      <c r="B143" s="47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9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</row>
    <row r="144">
      <c r="A144" s="47"/>
      <c r="B144" s="47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9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</row>
    <row r="145">
      <c r="A145" s="47"/>
      <c r="B145" s="47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9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</row>
    <row r="146">
      <c r="A146" s="47"/>
      <c r="B146" s="47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9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</row>
    <row r="147">
      <c r="A147" s="47"/>
      <c r="B147" s="47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9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</row>
    <row r="148">
      <c r="A148" s="47"/>
      <c r="B148" s="47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9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</row>
    <row r="149">
      <c r="A149" s="47"/>
      <c r="B149" s="47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9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</row>
    <row r="150">
      <c r="A150" s="47"/>
      <c r="B150" s="47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9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</row>
    <row r="151">
      <c r="A151" s="47"/>
      <c r="B151" s="47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9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</row>
    <row r="152">
      <c r="A152" s="47"/>
      <c r="B152" s="47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9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</row>
    <row r="153">
      <c r="A153" s="47"/>
      <c r="B153" s="47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9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</row>
    <row r="154">
      <c r="A154" s="47"/>
      <c r="B154" s="47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9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</row>
    <row r="155">
      <c r="A155" s="47"/>
      <c r="B155" s="47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9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</row>
    <row r="156">
      <c r="A156" s="47"/>
      <c r="B156" s="47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9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</row>
    <row r="157">
      <c r="A157" s="47"/>
      <c r="B157" s="47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9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</row>
    <row r="158">
      <c r="A158" s="47"/>
      <c r="B158" s="47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9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</row>
    <row r="159">
      <c r="A159" s="47"/>
      <c r="B159" s="47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9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</row>
    <row r="160">
      <c r="A160" s="47"/>
      <c r="B160" s="47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9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</row>
    <row r="161">
      <c r="A161" s="47"/>
      <c r="B161" s="47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9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</row>
    <row r="162">
      <c r="A162" s="47"/>
      <c r="B162" s="47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9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</row>
    <row r="163">
      <c r="A163" s="47"/>
      <c r="B163" s="47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9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</row>
    <row r="164">
      <c r="A164" s="47"/>
      <c r="B164" s="47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9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</row>
    <row r="165">
      <c r="A165" s="47"/>
      <c r="B165" s="47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9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</row>
    <row r="166">
      <c r="A166" s="47"/>
      <c r="B166" s="47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9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</row>
    <row r="167">
      <c r="A167" s="47"/>
      <c r="B167" s="47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9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</row>
    <row r="168">
      <c r="A168" s="47"/>
      <c r="B168" s="47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9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</row>
    <row r="169">
      <c r="A169" s="47"/>
      <c r="B169" s="47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9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</row>
    <row r="170">
      <c r="A170" s="47"/>
      <c r="B170" s="47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9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</row>
    <row r="171">
      <c r="A171" s="47"/>
      <c r="B171" s="47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9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</row>
    <row r="172">
      <c r="A172" s="47"/>
      <c r="B172" s="47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9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</row>
    <row r="173">
      <c r="A173" s="47"/>
      <c r="B173" s="47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9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</row>
    <row r="174">
      <c r="A174" s="47"/>
      <c r="B174" s="47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9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</row>
    <row r="175">
      <c r="A175" s="47"/>
      <c r="B175" s="47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9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</row>
    <row r="176">
      <c r="A176" s="47"/>
      <c r="B176" s="47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9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</row>
    <row r="177">
      <c r="A177" s="47"/>
      <c r="B177" s="47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9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</row>
    <row r="178">
      <c r="A178" s="47"/>
      <c r="B178" s="47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9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</row>
    <row r="179">
      <c r="A179" s="47"/>
      <c r="B179" s="47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9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</row>
    <row r="180">
      <c r="A180" s="47"/>
      <c r="B180" s="47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9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</row>
    <row r="181">
      <c r="A181" s="47"/>
      <c r="B181" s="47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9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</row>
    <row r="182">
      <c r="A182" s="47"/>
      <c r="B182" s="47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9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</row>
    <row r="183">
      <c r="A183" s="47"/>
      <c r="B183" s="47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9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</row>
    <row r="184">
      <c r="A184" s="47"/>
      <c r="B184" s="47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9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</row>
    <row r="185">
      <c r="A185" s="47"/>
      <c r="B185" s="47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9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</row>
    <row r="186">
      <c r="A186" s="47"/>
      <c r="B186" s="47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9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</row>
    <row r="187">
      <c r="A187" s="47"/>
      <c r="B187" s="47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9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</row>
    <row r="188">
      <c r="A188" s="47"/>
      <c r="B188" s="47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9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</row>
    <row r="189">
      <c r="A189" s="47"/>
      <c r="B189" s="47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9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</row>
    <row r="190">
      <c r="A190" s="47"/>
      <c r="B190" s="47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9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</row>
    <row r="191">
      <c r="A191" s="47"/>
      <c r="B191" s="47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9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</row>
    <row r="192">
      <c r="A192" s="47"/>
      <c r="B192" s="47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9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</row>
    <row r="193">
      <c r="A193" s="47"/>
      <c r="B193" s="47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9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</row>
    <row r="194">
      <c r="A194" s="47"/>
      <c r="B194" s="47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9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</row>
    <row r="195">
      <c r="A195" s="47"/>
      <c r="B195" s="47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9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</row>
    <row r="196">
      <c r="A196" s="47"/>
      <c r="B196" s="47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9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</row>
    <row r="197">
      <c r="A197" s="47"/>
      <c r="B197" s="47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9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</row>
    <row r="198">
      <c r="A198" s="47"/>
      <c r="B198" s="47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9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</row>
    <row r="199">
      <c r="A199" s="47"/>
      <c r="B199" s="47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9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</row>
    <row r="200">
      <c r="A200" s="47"/>
      <c r="B200" s="47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9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</row>
    <row r="201">
      <c r="A201" s="47"/>
      <c r="B201" s="47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9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</row>
    <row r="202">
      <c r="A202" s="47"/>
      <c r="B202" s="47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9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</row>
    <row r="203">
      <c r="A203" s="47"/>
      <c r="B203" s="47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9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</row>
    <row r="204">
      <c r="A204" s="47"/>
      <c r="B204" s="47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9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</row>
    <row r="205">
      <c r="A205" s="47"/>
      <c r="B205" s="47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9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</row>
    <row r="206">
      <c r="A206" s="47"/>
      <c r="B206" s="47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9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</row>
    <row r="207">
      <c r="A207" s="47"/>
      <c r="B207" s="47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9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</row>
    <row r="208">
      <c r="A208" s="47"/>
      <c r="B208" s="47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9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</row>
    <row r="209">
      <c r="A209" s="47"/>
      <c r="B209" s="47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9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</row>
    <row r="210">
      <c r="A210" s="47"/>
      <c r="B210" s="47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9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</row>
    <row r="211">
      <c r="A211" s="47"/>
      <c r="B211" s="47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9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</row>
    <row r="212">
      <c r="A212" s="47"/>
      <c r="B212" s="47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9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</row>
    <row r="213">
      <c r="A213" s="47"/>
      <c r="B213" s="47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9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</row>
    <row r="214">
      <c r="A214" s="47"/>
      <c r="B214" s="47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9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</row>
    <row r="215">
      <c r="A215" s="47"/>
      <c r="B215" s="47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9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</row>
    <row r="216">
      <c r="A216" s="47"/>
      <c r="B216" s="47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9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</row>
    <row r="217">
      <c r="A217" s="47"/>
      <c r="B217" s="47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9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</row>
    <row r="218">
      <c r="A218" s="47"/>
      <c r="B218" s="47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9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</row>
    <row r="219">
      <c r="A219" s="47"/>
      <c r="B219" s="47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9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</row>
    <row r="220">
      <c r="A220" s="47"/>
      <c r="B220" s="47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9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</row>
    <row r="221">
      <c r="A221" s="47"/>
      <c r="B221" s="47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9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</row>
    <row r="222">
      <c r="A222" s="47"/>
      <c r="B222" s="47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9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</row>
    <row r="223">
      <c r="A223" s="47"/>
      <c r="B223" s="47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9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</row>
    <row r="224">
      <c r="A224" s="47"/>
      <c r="B224" s="47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9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</row>
    <row r="225">
      <c r="A225" s="47"/>
      <c r="B225" s="47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9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</row>
    <row r="226">
      <c r="A226" s="47"/>
      <c r="B226" s="47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9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</row>
    <row r="227">
      <c r="A227" s="47"/>
      <c r="B227" s="47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9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</row>
    <row r="228">
      <c r="A228" s="47"/>
      <c r="B228" s="47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9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</row>
    <row r="229">
      <c r="A229" s="47"/>
      <c r="B229" s="47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9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</row>
    <row r="230">
      <c r="A230" s="47"/>
      <c r="B230" s="47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9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</row>
    <row r="231">
      <c r="A231" s="47"/>
      <c r="B231" s="47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9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</row>
    <row r="232">
      <c r="A232" s="47"/>
      <c r="B232" s="47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9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</row>
    <row r="233">
      <c r="A233" s="47"/>
      <c r="B233" s="47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9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</row>
    <row r="234">
      <c r="A234" s="47"/>
      <c r="B234" s="47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9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</row>
    <row r="235">
      <c r="A235" s="47"/>
      <c r="B235" s="47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9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</row>
    <row r="236">
      <c r="A236" s="47"/>
      <c r="B236" s="47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9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</row>
    <row r="237">
      <c r="A237" s="47"/>
      <c r="B237" s="47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9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</row>
    <row r="238">
      <c r="A238" s="47"/>
      <c r="B238" s="47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9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</row>
    <row r="239">
      <c r="A239" s="47"/>
      <c r="B239" s="47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9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</row>
    <row r="240">
      <c r="A240" s="47"/>
      <c r="B240" s="47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9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</row>
    <row r="241">
      <c r="A241" s="47"/>
      <c r="B241" s="47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9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</row>
    <row r="242">
      <c r="A242" s="47"/>
      <c r="B242" s="47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9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</row>
    <row r="243">
      <c r="A243" s="47"/>
      <c r="B243" s="47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9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</row>
    <row r="244">
      <c r="A244" s="47"/>
      <c r="B244" s="47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9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</row>
    <row r="245">
      <c r="A245" s="47"/>
      <c r="B245" s="47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9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</row>
    <row r="246">
      <c r="A246" s="47"/>
      <c r="B246" s="47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9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</row>
    <row r="247">
      <c r="A247" s="47"/>
      <c r="B247" s="47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9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</row>
    <row r="248">
      <c r="A248" s="47"/>
      <c r="B248" s="47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9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</row>
    <row r="249">
      <c r="A249" s="47"/>
      <c r="B249" s="47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9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</row>
    <row r="250">
      <c r="A250" s="47"/>
      <c r="B250" s="47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9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</row>
    <row r="251">
      <c r="A251" s="47"/>
      <c r="B251" s="47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9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</row>
    <row r="252">
      <c r="A252" s="47"/>
      <c r="B252" s="47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9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</row>
    <row r="253">
      <c r="A253" s="47"/>
      <c r="B253" s="47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9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</row>
    <row r="254">
      <c r="A254" s="47"/>
      <c r="B254" s="47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9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</row>
    <row r="255">
      <c r="A255" s="47"/>
      <c r="B255" s="47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9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</row>
    <row r="256">
      <c r="A256" s="47"/>
      <c r="B256" s="47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9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</row>
    <row r="257">
      <c r="A257" s="47"/>
      <c r="B257" s="47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9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</row>
    <row r="258">
      <c r="A258" s="47"/>
      <c r="B258" s="47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9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</row>
    <row r="259">
      <c r="A259" s="47"/>
      <c r="B259" s="47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9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</row>
    <row r="260">
      <c r="A260" s="47"/>
      <c r="B260" s="47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9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</row>
    <row r="261">
      <c r="A261" s="47"/>
      <c r="B261" s="47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9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</row>
    <row r="262">
      <c r="A262" s="47"/>
      <c r="B262" s="47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9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</row>
    <row r="263">
      <c r="A263" s="47"/>
      <c r="B263" s="47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9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</row>
    <row r="264">
      <c r="A264" s="47"/>
      <c r="B264" s="47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9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</row>
    <row r="265">
      <c r="A265" s="47"/>
      <c r="B265" s="47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9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</row>
    <row r="266">
      <c r="A266" s="47"/>
      <c r="B266" s="47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9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</row>
    <row r="267">
      <c r="A267" s="47"/>
      <c r="B267" s="47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9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</row>
    <row r="268">
      <c r="A268" s="47"/>
      <c r="B268" s="47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9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</row>
    <row r="269">
      <c r="A269" s="47"/>
      <c r="B269" s="47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9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</row>
    <row r="270">
      <c r="A270" s="47"/>
      <c r="B270" s="47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9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</row>
    <row r="271">
      <c r="A271" s="47"/>
      <c r="B271" s="47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9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</row>
    <row r="272">
      <c r="A272" s="47"/>
      <c r="B272" s="47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9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</row>
    <row r="273">
      <c r="A273" s="47"/>
      <c r="B273" s="47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9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</row>
    <row r="274">
      <c r="A274" s="47"/>
      <c r="B274" s="47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9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</row>
    <row r="275">
      <c r="A275" s="47"/>
      <c r="B275" s="47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9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</row>
    <row r="276">
      <c r="A276" s="47"/>
      <c r="B276" s="47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9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</row>
    <row r="277">
      <c r="A277" s="47"/>
      <c r="B277" s="47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9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</row>
    <row r="278">
      <c r="A278" s="47"/>
      <c r="B278" s="47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9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</row>
    <row r="279">
      <c r="A279" s="47"/>
      <c r="B279" s="47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9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</row>
    <row r="280">
      <c r="A280" s="47"/>
      <c r="B280" s="47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9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</row>
    <row r="281">
      <c r="A281" s="47"/>
      <c r="B281" s="47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9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</row>
    <row r="282">
      <c r="A282" s="47"/>
      <c r="B282" s="47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9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</row>
    <row r="283">
      <c r="A283" s="47"/>
      <c r="B283" s="47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9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</row>
    <row r="284">
      <c r="A284" s="47"/>
      <c r="B284" s="47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9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</row>
    <row r="285">
      <c r="A285" s="47"/>
      <c r="B285" s="47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9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</row>
    <row r="286">
      <c r="A286" s="47"/>
      <c r="B286" s="47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9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</row>
    <row r="287">
      <c r="A287" s="47"/>
      <c r="B287" s="47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9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</row>
    <row r="288">
      <c r="A288" s="47"/>
      <c r="B288" s="47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9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</row>
    <row r="289">
      <c r="A289" s="47"/>
      <c r="B289" s="47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9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</row>
    <row r="290">
      <c r="A290" s="47"/>
      <c r="B290" s="47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9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</row>
    <row r="291">
      <c r="A291" s="47"/>
      <c r="B291" s="47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9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</row>
    <row r="292">
      <c r="A292" s="47"/>
      <c r="B292" s="47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9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</row>
    <row r="293">
      <c r="A293" s="47"/>
      <c r="B293" s="47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9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</row>
    <row r="294">
      <c r="A294" s="47"/>
      <c r="B294" s="47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9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</row>
    <row r="295">
      <c r="A295" s="47"/>
      <c r="B295" s="47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9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</row>
    <row r="296">
      <c r="A296" s="47"/>
      <c r="B296" s="47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9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</row>
    <row r="297">
      <c r="A297" s="47"/>
      <c r="B297" s="47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9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</row>
    <row r="298">
      <c r="A298" s="47"/>
      <c r="B298" s="47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9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</row>
    <row r="299">
      <c r="A299" s="47"/>
      <c r="B299" s="47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9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</row>
    <row r="300">
      <c r="A300" s="47"/>
      <c r="B300" s="47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9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</row>
    <row r="301">
      <c r="A301" s="47"/>
      <c r="B301" s="47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9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</row>
    <row r="302">
      <c r="A302" s="47"/>
      <c r="B302" s="47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9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</row>
    <row r="303">
      <c r="A303" s="47"/>
      <c r="B303" s="47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9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</row>
    <row r="304">
      <c r="A304" s="47"/>
      <c r="B304" s="47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9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</row>
    <row r="305">
      <c r="A305" s="47"/>
      <c r="B305" s="47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9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</row>
    <row r="306">
      <c r="A306" s="47"/>
      <c r="B306" s="47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9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</row>
    <row r="307">
      <c r="A307" s="47"/>
      <c r="B307" s="47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9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</row>
    <row r="308">
      <c r="A308" s="47"/>
      <c r="B308" s="47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9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</row>
    <row r="309">
      <c r="A309" s="47"/>
      <c r="B309" s="47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9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</row>
    <row r="310">
      <c r="A310" s="47"/>
      <c r="B310" s="47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9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</row>
    <row r="311">
      <c r="A311" s="47"/>
      <c r="B311" s="47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9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</row>
    <row r="312">
      <c r="A312" s="47"/>
      <c r="B312" s="47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9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</row>
    <row r="313">
      <c r="A313" s="47"/>
      <c r="B313" s="47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9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</row>
    <row r="314">
      <c r="A314" s="47"/>
      <c r="B314" s="47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9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</row>
    <row r="315">
      <c r="A315" s="47"/>
      <c r="B315" s="47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9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</row>
    <row r="316">
      <c r="A316" s="47"/>
      <c r="B316" s="47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9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</row>
    <row r="317">
      <c r="A317" s="47"/>
      <c r="B317" s="47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9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</row>
    <row r="318">
      <c r="A318" s="47"/>
      <c r="B318" s="47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9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</row>
    <row r="319">
      <c r="A319" s="47"/>
      <c r="B319" s="47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9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</row>
    <row r="320">
      <c r="A320" s="47"/>
      <c r="B320" s="47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9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</row>
    <row r="321">
      <c r="A321" s="47"/>
      <c r="B321" s="47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9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</row>
    <row r="322">
      <c r="A322" s="47"/>
      <c r="B322" s="47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9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</row>
    <row r="323">
      <c r="A323" s="47"/>
      <c r="B323" s="47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9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</row>
    <row r="324">
      <c r="A324" s="47"/>
      <c r="B324" s="47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9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</row>
    <row r="325">
      <c r="A325" s="47"/>
      <c r="B325" s="47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9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</row>
    <row r="326">
      <c r="A326" s="47"/>
      <c r="B326" s="47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9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</row>
    <row r="327">
      <c r="A327" s="47"/>
      <c r="B327" s="47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9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</row>
    <row r="328">
      <c r="A328" s="47"/>
      <c r="B328" s="47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9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</row>
    <row r="329">
      <c r="A329" s="47"/>
      <c r="B329" s="47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9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</row>
    <row r="330">
      <c r="A330" s="47"/>
      <c r="B330" s="47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9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</row>
    <row r="331">
      <c r="A331" s="47"/>
      <c r="B331" s="47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9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</row>
    <row r="332">
      <c r="A332" s="47"/>
      <c r="B332" s="47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9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</row>
    <row r="333">
      <c r="A333" s="47"/>
      <c r="B333" s="47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9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</row>
    <row r="334">
      <c r="A334" s="47"/>
      <c r="B334" s="47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9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</row>
    <row r="335">
      <c r="A335" s="47"/>
      <c r="B335" s="47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9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</row>
    <row r="336">
      <c r="A336" s="47"/>
      <c r="B336" s="47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9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</row>
    <row r="337">
      <c r="A337" s="47"/>
      <c r="B337" s="47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9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</row>
    <row r="338">
      <c r="A338" s="47"/>
      <c r="B338" s="47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9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</row>
    <row r="339">
      <c r="A339" s="47"/>
      <c r="B339" s="47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9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</row>
    <row r="340">
      <c r="A340" s="47"/>
      <c r="B340" s="47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9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</row>
    <row r="341">
      <c r="A341" s="47"/>
      <c r="B341" s="47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9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</row>
    <row r="342">
      <c r="A342" s="47"/>
      <c r="B342" s="47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9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</row>
    <row r="343">
      <c r="A343" s="47"/>
      <c r="B343" s="47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9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</row>
    <row r="344">
      <c r="A344" s="47"/>
      <c r="B344" s="47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9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</row>
    <row r="345">
      <c r="A345" s="47"/>
      <c r="B345" s="47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9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</row>
    <row r="346">
      <c r="A346" s="47"/>
      <c r="B346" s="47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9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</row>
    <row r="347">
      <c r="A347" s="47"/>
      <c r="B347" s="47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9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</row>
    <row r="348">
      <c r="A348" s="47"/>
      <c r="B348" s="47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9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</row>
    <row r="349">
      <c r="A349" s="47"/>
      <c r="B349" s="47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9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</row>
    <row r="350">
      <c r="A350" s="47"/>
      <c r="B350" s="47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9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</row>
    <row r="351">
      <c r="A351" s="47"/>
      <c r="B351" s="47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9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</row>
    <row r="352">
      <c r="A352" s="47"/>
      <c r="B352" s="47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9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</row>
    <row r="353">
      <c r="A353" s="47"/>
      <c r="B353" s="47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9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</row>
    <row r="354">
      <c r="A354" s="47"/>
      <c r="B354" s="47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9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</row>
    <row r="355">
      <c r="A355" s="47"/>
      <c r="B355" s="47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9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</row>
    <row r="356">
      <c r="A356" s="47"/>
      <c r="B356" s="47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9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</row>
    <row r="357">
      <c r="A357" s="47"/>
      <c r="B357" s="47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9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</row>
    <row r="358">
      <c r="A358" s="47"/>
      <c r="B358" s="47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9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</row>
    <row r="359">
      <c r="A359" s="47"/>
      <c r="B359" s="47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9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</row>
    <row r="360">
      <c r="A360" s="47"/>
      <c r="B360" s="47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9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</row>
    <row r="361">
      <c r="A361" s="47"/>
      <c r="B361" s="47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9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</row>
    <row r="362">
      <c r="A362" s="47"/>
      <c r="B362" s="47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9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</row>
    <row r="363">
      <c r="A363" s="47"/>
      <c r="B363" s="47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9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</row>
    <row r="364">
      <c r="A364" s="47"/>
      <c r="B364" s="47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9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</row>
    <row r="365">
      <c r="A365" s="47"/>
      <c r="B365" s="47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9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</row>
    <row r="366">
      <c r="A366" s="47"/>
      <c r="B366" s="47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9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</row>
    <row r="367">
      <c r="A367" s="47"/>
      <c r="B367" s="47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9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</row>
    <row r="368">
      <c r="A368" s="47"/>
      <c r="B368" s="47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9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</row>
    <row r="369">
      <c r="A369" s="47"/>
      <c r="B369" s="47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9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</row>
    <row r="370">
      <c r="A370" s="47"/>
      <c r="B370" s="47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9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</row>
    <row r="371">
      <c r="A371" s="47"/>
      <c r="B371" s="47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9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</row>
    <row r="372">
      <c r="A372" s="47"/>
      <c r="B372" s="47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9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</row>
    <row r="373">
      <c r="A373" s="47"/>
      <c r="B373" s="47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9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</row>
    <row r="374">
      <c r="A374" s="47"/>
      <c r="B374" s="47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9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</row>
    <row r="375">
      <c r="A375" s="47"/>
      <c r="B375" s="47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9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</row>
    <row r="376">
      <c r="A376" s="47"/>
      <c r="B376" s="47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9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</row>
    <row r="377">
      <c r="A377" s="47"/>
      <c r="B377" s="47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9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</row>
    <row r="378">
      <c r="A378" s="47"/>
      <c r="B378" s="47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9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</row>
    <row r="379">
      <c r="A379" s="47"/>
      <c r="B379" s="47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9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</row>
    <row r="380">
      <c r="A380" s="47"/>
      <c r="B380" s="47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9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</row>
    <row r="381">
      <c r="A381" s="47"/>
      <c r="B381" s="47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9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</row>
    <row r="382">
      <c r="A382" s="47"/>
      <c r="B382" s="47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9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</row>
    <row r="383">
      <c r="A383" s="47"/>
      <c r="B383" s="47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9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</row>
    <row r="384">
      <c r="A384" s="47"/>
      <c r="B384" s="47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9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</row>
    <row r="385">
      <c r="A385" s="47"/>
      <c r="B385" s="47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9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</row>
    <row r="386">
      <c r="A386" s="47"/>
      <c r="B386" s="47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9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</row>
    <row r="387">
      <c r="A387" s="47"/>
      <c r="B387" s="47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9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</row>
    <row r="388">
      <c r="A388" s="47"/>
      <c r="B388" s="47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9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</row>
    <row r="389">
      <c r="A389" s="47"/>
      <c r="B389" s="47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9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</row>
    <row r="390">
      <c r="A390" s="47"/>
      <c r="B390" s="47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9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</row>
    <row r="391">
      <c r="A391" s="47"/>
      <c r="B391" s="47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9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</row>
    <row r="392">
      <c r="A392" s="47"/>
      <c r="B392" s="47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9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</row>
    <row r="393">
      <c r="A393" s="47"/>
      <c r="B393" s="47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9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</row>
    <row r="394">
      <c r="A394" s="47"/>
      <c r="B394" s="47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9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</row>
    <row r="395">
      <c r="A395" s="47"/>
      <c r="B395" s="47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9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</row>
    <row r="396">
      <c r="A396" s="47"/>
      <c r="B396" s="47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9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</row>
    <row r="397">
      <c r="A397" s="47"/>
      <c r="B397" s="47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9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</row>
    <row r="398">
      <c r="A398" s="47"/>
      <c r="B398" s="47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9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</row>
    <row r="399">
      <c r="A399" s="47"/>
      <c r="B399" s="47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9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</row>
    <row r="400">
      <c r="A400" s="47"/>
      <c r="B400" s="47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9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</row>
    <row r="401">
      <c r="A401" s="47"/>
      <c r="B401" s="47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9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</row>
    <row r="402">
      <c r="A402" s="47"/>
      <c r="B402" s="47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9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</row>
    <row r="403">
      <c r="A403" s="47"/>
      <c r="B403" s="47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9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</row>
    <row r="404">
      <c r="A404" s="47"/>
      <c r="B404" s="47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9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</row>
    <row r="405">
      <c r="A405" s="47"/>
      <c r="B405" s="47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9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</row>
    <row r="406">
      <c r="A406" s="47"/>
      <c r="B406" s="47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9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</row>
    <row r="407">
      <c r="A407" s="47"/>
      <c r="B407" s="47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9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</row>
    <row r="408">
      <c r="A408" s="47"/>
      <c r="B408" s="47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9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</row>
    <row r="409">
      <c r="A409" s="47"/>
      <c r="B409" s="47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9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</row>
    <row r="410">
      <c r="A410" s="47"/>
      <c r="B410" s="47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9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</row>
    <row r="411">
      <c r="A411" s="47"/>
      <c r="B411" s="47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9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</row>
    <row r="412">
      <c r="A412" s="47"/>
      <c r="B412" s="47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9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</row>
    <row r="413">
      <c r="A413" s="47"/>
      <c r="B413" s="47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9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</row>
    <row r="414">
      <c r="A414" s="47"/>
      <c r="B414" s="47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9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</row>
    <row r="415">
      <c r="A415" s="47"/>
      <c r="B415" s="47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9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</row>
    <row r="416">
      <c r="A416" s="47"/>
      <c r="B416" s="47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9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</row>
    <row r="417">
      <c r="A417" s="47"/>
      <c r="B417" s="47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9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</row>
    <row r="418">
      <c r="A418" s="47"/>
      <c r="B418" s="47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9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</row>
    <row r="419">
      <c r="A419" s="47"/>
      <c r="B419" s="47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9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</row>
    <row r="420">
      <c r="A420" s="47"/>
      <c r="B420" s="47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9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</row>
    <row r="421">
      <c r="A421" s="47"/>
      <c r="B421" s="47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9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</row>
    <row r="422">
      <c r="A422" s="47"/>
      <c r="B422" s="47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9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</row>
    <row r="423">
      <c r="A423" s="47"/>
      <c r="B423" s="47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9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</row>
    <row r="424">
      <c r="A424" s="47"/>
      <c r="B424" s="47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9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</row>
    <row r="425">
      <c r="A425" s="47"/>
      <c r="B425" s="47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9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</row>
    <row r="426">
      <c r="A426" s="47"/>
      <c r="B426" s="47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9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</row>
    <row r="427">
      <c r="A427" s="47"/>
      <c r="B427" s="47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9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</row>
    <row r="428">
      <c r="A428" s="47"/>
      <c r="B428" s="47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9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</row>
    <row r="429">
      <c r="A429" s="47"/>
      <c r="B429" s="47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9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</row>
    <row r="430">
      <c r="A430" s="47"/>
      <c r="B430" s="47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9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</row>
    <row r="431">
      <c r="A431" s="47"/>
      <c r="B431" s="47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9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</row>
    <row r="432">
      <c r="A432" s="47"/>
      <c r="B432" s="47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9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</row>
    <row r="433">
      <c r="A433" s="47"/>
      <c r="B433" s="47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9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</row>
    <row r="434">
      <c r="A434" s="47"/>
      <c r="B434" s="47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9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</row>
    <row r="435">
      <c r="A435" s="47"/>
      <c r="B435" s="47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9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</row>
    <row r="436">
      <c r="A436" s="47"/>
      <c r="B436" s="47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9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</row>
    <row r="437">
      <c r="A437" s="47"/>
      <c r="B437" s="47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9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</row>
    <row r="438">
      <c r="A438" s="47"/>
      <c r="B438" s="47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9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</row>
    <row r="439">
      <c r="A439" s="47"/>
      <c r="B439" s="47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9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</row>
    <row r="440">
      <c r="A440" s="47"/>
      <c r="B440" s="47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9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</row>
    <row r="441">
      <c r="A441" s="47"/>
      <c r="B441" s="47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9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</row>
    <row r="442">
      <c r="A442" s="47"/>
      <c r="B442" s="47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9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</row>
    <row r="443">
      <c r="A443" s="47"/>
      <c r="B443" s="47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9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</row>
    <row r="444">
      <c r="A444" s="47"/>
      <c r="B444" s="47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9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</row>
    <row r="445">
      <c r="A445" s="47"/>
      <c r="B445" s="47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9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</row>
    <row r="446">
      <c r="A446" s="47"/>
      <c r="B446" s="47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9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</row>
    <row r="447">
      <c r="A447" s="47"/>
      <c r="B447" s="47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9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</row>
    <row r="448">
      <c r="A448" s="47"/>
      <c r="B448" s="47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9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</row>
    <row r="449">
      <c r="A449" s="47"/>
      <c r="B449" s="47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9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</row>
    <row r="450">
      <c r="A450" s="47"/>
      <c r="B450" s="47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9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</row>
    <row r="451">
      <c r="A451" s="47"/>
      <c r="B451" s="47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9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</row>
    <row r="452">
      <c r="A452" s="47"/>
      <c r="B452" s="47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9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</row>
    <row r="453">
      <c r="A453" s="47"/>
      <c r="B453" s="47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9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</row>
    <row r="454">
      <c r="A454" s="47"/>
      <c r="B454" s="47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9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</row>
    <row r="455">
      <c r="A455" s="47"/>
      <c r="B455" s="47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9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</row>
    <row r="456">
      <c r="A456" s="47"/>
      <c r="B456" s="47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9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</row>
    <row r="457">
      <c r="A457" s="47"/>
      <c r="B457" s="47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9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</row>
    <row r="458">
      <c r="A458" s="47"/>
      <c r="B458" s="47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9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</row>
    <row r="459">
      <c r="A459" s="47"/>
      <c r="B459" s="47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9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</row>
    <row r="460">
      <c r="A460" s="47"/>
      <c r="B460" s="47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9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</row>
    <row r="461">
      <c r="A461" s="47"/>
      <c r="B461" s="47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9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</row>
    <row r="462">
      <c r="A462" s="47"/>
      <c r="B462" s="47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9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</row>
    <row r="463">
      <c r="A463" s="47"/>
      <c r="B463" s="47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9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</row>
    <row r="464">
      <c r="A464" s="47"/>
      <c r="B464" s="47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9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</row>
    <row r="465">
      <c r="A465" s="47"/>
      <c r="B465" s="47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9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</row>
    <row r="466">
      <c r="A466" s="47"/>
      <c r="B466" s="47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9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</row>
    <row r="467">
      <c r="A467" s="47"/>
      <c r="B467" s="47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9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</row>
    <row r="468">
      <c r="A468" s="47"/>
      <c r="B468" s="47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9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</row>
    <row r="469">
      <c r="A469" s="47"/>
      <c r="B469" s="47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9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</row>
    <row r="470">
      <c r="A470" s="47"/>
      <c r="B470" s="47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9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</row>
    <row r="471">
      <c r="A471" s="47"/>
      <c r="B471" s="47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9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</row>
    <row r="472">
      <c r="A472" s="47"/>
      <c r="B472" s="47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9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</row>
    <row r="473">
      <c r="A473" s="47"/>
      <c r="B473" s="47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9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</row>
    <row r="474">
      <c r="A474" s="47"/>
      <c r="B474" s="47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9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</row>
    <row r="475">
      <c r="A475" s="47"/>
      <c r="B475" s="47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9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</row>
    <row r="476">
      <c r="A476" s="47"/>
      <c r="B476" s="47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9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</row>
    <row r="477">
      <c r="A477" s="47"/>
      <c r="B477" s="47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9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</row>
    <row r="478">
      <c r="A478" s="47"/>
      <c r="B478" s="47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9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</row>
    <row r="479">
      <c r="A479" s="47"/>
      <c r="B479" s="47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9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</row>
    <row r="480">
      <c r="A480" s="47"/>
      <c r="B480" s="47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9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</row>
    <row r="481">
      <c r="A481" s="47"/>
      <c r="B481" s="47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9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</row>
    <row r="482">
      <c r="A482" s="47"/>
      <c r="B482" s="47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9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</row>
    <row r="483">
      <c r="A483" s="47"/>
      <c r="B483" s="47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9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</row>
    <row r="484">
      <c r="A484" s="47"/>
      <c r="B484" s="47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9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</row>
    <row r="485">
      <c r="A485" s="47"/>
      <c r="B485" s="47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9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</row>
    <row r="486">
      <c r="A486" s="47"/>
      <c r="B486" s="47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9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</row>
    <row r="487">
      <c r="A487" s="47"/>
      <c r="B487" s="47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9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</row>
    <row r="488">
      <c r="A488" s="47"/>
      <c r="B488" s="47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9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</row>
    <row r="489">
      <c r="A489" s="47"/>
      <c r="B489" s="47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9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</row>
    <row r="490">
      <c r="A490" s="47"/>
      <c r="B490" s="47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9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</row>
    <row r="491">
      <c r="A491" s="47"/>
      <c r="B491" s="47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9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</row>
    <row r="492">
      <c r="A492" s="47"/>
      <c r="B492" s="47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9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</row>
    <row r="493">
      <c r="A493" s="47"/>
      <c r="B493" s="47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9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</row>
    <row r="494">
      <c r="A494" s="47"/>
      <c r="B494" s="47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9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</row>
    <row r="495">
      <c r="A495" s="47"/>
      <c r="B495" s="47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9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</row>
    <row r="496">
      <c r="A496" s="47"/>
      <c r="B496" s="47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9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</row>
    <row r="497">
      <c r="A497" s="47"/>
      <c r="B497" s="47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9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</row>
    <row r="498">
      <c r="A498" s="47"/>
      <c r="B498" s="47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9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</row>
    <row r="499">
      <c r="A499" s="47"/>
      <c r="B499" s="47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9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</row>
    <row r="500">
      <c r="A500" s="47"/>
      <c r="B500" s="47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9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</row>
    <row r="501">
      <c r="A501" s="47"/>
      <c r="B501" s="47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9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</row>
    <row r="502">
      <c r="A502" s="47"/>
      <c r="B502" s="47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9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</row>
    <row r="503">
      <c r="A503" s="47"/>
      <c r="B503" s="47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9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</row>
    <row r="504">
      <c r="A504" s="47"/>
      <c r="B504" s="47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9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</row>
    <row r="505">
      <c r="A505" s="47"/>
      <c r="B505" s="47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9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</row>
    <row r="506">
      <c r="A506" s="47"/>
      <c r="B506" s="47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9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</row>
    <row r="507">
      <c r="A507" s="47"/>
      <c r="B507" s="47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9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</row>
    <row r="508">
      <c r="A508" s="47"/>
      <c r="B508" s="47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9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</row>
    <row r="509">
      <c r="A509" s="47"/>
      <c r="B509" s="47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9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</row>
    <row r="510">
      <c r="A510" s="47"/>
      <c r="B510" s="47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9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</row>
    <row r="511">
      <c r="A511" s="47"/>
      <c r="B511" s="47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9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</row>
    <row r="512">
      <c r="A512" s="47"/>
      <c r="B512" s="47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9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</row>
    <row r="513">
      <c r="A513" s="47"/>
      <c r="B513" s="47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9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</row>
    <row r="514">
      <c r="A514" s="47"/>
      <c r="B514" s="47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9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</row>
    <row r="515">
      <c r="A515" s="47"/>
      <c r="B515" s="47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9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</row>
    <row r="516">
      <c r="A516" s="47"/>
      <c r="B516" s="47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9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</row>
    <row r="517">
      <c r="A517" s="47"/>
      <c r="B517" s="47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9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</row>
    <row r="518">
      <c r="A518" s="47"/>
      <c r="B518" s="47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9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</row>
    <row r="519">
      <c r="A519" s="47"/>
      <c r="B519" s="47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9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</row>
    <row r="520">
      <c r="A520" s="47"/>
      <c r="B520" s="47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9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</row>
    <row r="521">
      <c r="A521" s="47"/>
      <c r="B521" s="47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9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</row>
    <row r="522">
      <c r="A522" s="47"/>
      <c r="B522" s="47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9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</row>
    <row r="523">
      <c r="A523" s="47"/>
      <c r="B523" s="47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9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</row>
    <row r="524">
      <c r="A524" s="47"/>
      <c r="B524" s="47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9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</row>
    <row r="525">
      <c r="A525" s="47"/>
      <c r="B525" s="47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9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</row>
    <row r="526">
      <c r="A526" s="47"/>
      <c r="B526" s="47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9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</row>
    <row r="527">
      <c r="A527" s="47"/>
      <c r="B527" s="47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9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</row>
    <row r="528">
      <c r="A528" s="47"/>
      <c r="B528" s="47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9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</row>
    <row r="529">
      <c r="A529" s="47"/>
      <c r="B529" s="47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9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</row>
    <row r="530">
      <c r="A530" s="47"/>
      <c r="B530" s="47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9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</row>
    <row r="531">
      <c r="A531" s="47"/>
      <c r="B531" s="47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9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</row>
    <row r="532">
      <c r="A532" s="47"/>
      <c r="B532" s="47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9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</row>
    <row r="533">
      <c r="A533" s="47"/>
      <c r="B533" s="47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9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</row>
    <row r="534">
      <c r="A534" s="47"/>
      <c r="B534" s="47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9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</row>
    <row r="535">
      <c r="A535" s="47"/>
      <c r="B535" s="47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9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</row>
    <row r="536">
      <c r="A536" s="47"/>
      <c r="B536" s="47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9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</row>
    <row r="537">
      <c r="A537" s="47"/>
      <c r="B537" s="47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9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</row>
    <row r="538">
      <c r="A538" s="47"/>
      <c r="B538" s="47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9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</row>
    <row r="539">
      <c r="A539" s="47"/>
      <c r="B539" s="47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9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</row>
    <row r="540">
      <c r="A540" s="47"/>
      <c r="B540" s="47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9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</row>
    <row r="541">
      <c r="A541" s="47"/>
      <c r="B541" s="47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9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</row>
    <row r="542">
      <c r="A542" s="47"/>
      <c r="B542" s="47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9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</row>
    <row r="543">
      <c r="A543" s="47"/>
      <c r="B543" s="47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9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</row>
    <row r="544">
      <c r="A544" s="47"/>
      <c r="B544" s="47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9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</row>
    <row r="545">
      <c r="A545" s="47"/>
      <c r="B545" s="47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9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</row>
    <row r="546">
      <c r="A546" s="47"/>
      <c r="B546" s="47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9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</row>
    <row r="547">
      <c r="A547" s="47"/>
      <c r="B547" s="47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9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</row>
    <row r="548">
      <c r="A548" s="47"/>
      <c r="B548" s="47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9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</row>
    <row r="549">
      <c r="A549" s="47"/>
      <c r="B549" s="47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9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</row>
    <row r="550">
      <c r="A550" s="47"/>
      <c r="B550" s="47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9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</row>
    <row r="551">
      <c r="A551" s="47"/>
      <c r="B551" s="47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9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</row>
    <row r="552">
      <c r="A552" s="47"/>
      <c r="B552" s="47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9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</row>
    <row r="553">
      <c r="A553" s="47"/>
      <c r="B553" s="47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9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</row>
    <row r="554">
      <c r="A554" s="47"/>
      <c r="B554" s="47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9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</row>
    <row r="555">
      <c r="A555" s="47"/>
      <c r="B555" s="47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9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</row>
    <row r="556">
      <c r="A556" s="47"/>
      <c r="B556" s="47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9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</row>
    <row r="557">
      <c r="A557" s="47"/>
      <c r="B557" s="47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9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</row>
    <row r="558">
      <c r="A558" s="47"/>
      <c r="B558" s="47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9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</row>
    <row r="559">
      <c r="A559" s="47"/>
      <c r="B559" s="47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9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</row>
    <row r="560">
      <c r="A560" s="47"/>
      <c r="B560" s="47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9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</row>
    <row r="561">
      <c r="A561" s="47"/>
      <c r="B561" s="47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9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</row>
    <row r="562">
      <c r="A562" s="47"/>
      <c r="B562" s="47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9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</row>
    <row r="563">
      <c r="A563" s="47"/>
      <c r="B563" s="47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9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</row>
    <row r="564">
      <c r="A564" s="47"/>
      <c r="B564" s="47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9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</row>
    <row r="565">
      <c r="A565" s="47"/>
      <c r="B565" s="47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9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</row>
    <row r="566">
      <c r="A566" s="47"/>
      <c r="B566" s="47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9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</row>
    <row r="567">
      <c r="A567" s="47"/>
      <c r="B567" s="47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9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</row>
    <row r="568">
      <c r="A568" s="47"/>
      <c r="B568" s="47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9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</row>
    <row r="569">
      <c r="A569" s="47"/>
      <c r="B569" s="47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9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</row>
    <row r="570">
      <c r="A570" s="47"/>
      <c r="B570" s="47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9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</row>
    <row r="571">
      <c r="A571" s="47"/>
      <c r="B571" s="47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9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</row>
    <row r="572">
      <c r="A572" s="47"/>
      <c r="B572" s="47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9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</row>
    <row r="573">
      <c r="A573" s="47"/>
      <c r="B573" s="47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9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</row>
    <row r="574">
      <c r="A574" s="47"/>
      <c r="B574" s="47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9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</row>
    <row r="575">
      <c r="A575" s="47"/>
      <c r="B575" s="47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9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</row>
    <row r="576">
      <c r="A576" s="47"/>
      <c r="B576" s="47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9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</row>
    <row r="577">
      <c r="A577" s="47"/>
      <c r="B577" s="47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9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</row>
    <row r="578">
      <c r="A578" s="47"/>
      <c r="B578" s="47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9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</row>
    <row r="579">
      <c r="A579" s="47"/>
      <c r="B579" s="47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9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</row>
    <row r="580">
      <c r="A580" s="47"/>
      <c r="B580" s="47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9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</row>
    <row r="581">
      <c r="A581" s="47"/>
      <c r="B581" s="47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9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</row>
    <row r="582">
      <c r="A582" s="47"/>
      <c r="B582" s="47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9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</row>
    <row r="583">
      <c r="A583" s="47"/>
      <c r="B583" s="47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9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</row>
    <row r="584">
      <c r="A584" s="47"/>
      <c r="B584" s="47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9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</row>
    <row r="585">
      <c r="A585" s="47"/>
      <c r="B585" s="47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9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</row>
    <row r="586">
      <c r="A586" s="47"/>
      <c r="B586" s="47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9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</row>
    <row r="587">
      <c r="A587" s="47"/>
      <c r="B587" s="47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9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</row>
    <row r="588">
      <c r="A588" s="47"/>
      <c r="B588" s="47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9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</row>
    <row r="589">
      <c r="A589" s="47"/>
      <c r="B589" s="47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9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</row>
    <row r="590">
      <c r="A590" s="47"/>
      <c r="B590" s="47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9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</row>
    <row r="591">
      <c r="A591" s="47"/>
      <c r="B591" s="47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9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</row>
    <row r="592">
      <c r="A592" s="47"/>
      <c r="B592" s="47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9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</row>
    <row r="593">
      <c r="A593" s="47"/>
      <c r="B593" s="47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9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</row>
    <row r="594">
      <c r="A594" s="47"/>
      <c r="B594" s="47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9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</row>
    <row r="595">
      <c r="A595" s="47"/>
      <c r="B595" s="47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9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</row>
    <row r="596">
      <c r="A596" s="47"/>
      <c r="B596" s="47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9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</row>
    <row r="597">
      <c r="A597" s="47"/>
      <c r="B597" s="47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9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</row>
    <row r="598">
      <c r="A598" s="47"/>
      <c r="B598" s="47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9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</row>
    <row r="599">
      <c r="A599" s="47"/>
      <c r="B599" s="47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9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</row>
    <row r="600">
      <c r="A600" s="47"/>
      <c r="B600" s="47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9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</row>
    <row r="601">
      <c r="A601" s="47"/>
      <c r="B601" s="47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9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</row>
    <row r="602">
      <c r="A602" s="47"/>
      <c r="B602" s="47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9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</row>
    <row r="603">
      <c r="A603" s="47"/>
      <c r="B603" s="47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9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</row>
    <row r="604">
      <c r="A604" s="47"/>
      <c r="B604" s="47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9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</row>
    <row r="605">
      <c r="A605" s="47"/>
      <c r="B605" s="47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9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</row>
    <row r="606">
      <c r="A606" s="47"/>
      <c r="B606" s="47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9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</row>
    <row r="607">
      <c r="A607" s="47"/>
      <c r="B607" s="47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9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</row>
    <row r="608">
      <c r="A608" s="47"/>
      <c r="B608" s="47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9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</row>
    <row r="609">
      <c r="A609" s="47"/>
      <c r="B609" s="47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9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</row>
    <row r="610">
      <c r="A610" s="47"/>
      <c r="B610" s="47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9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</row>
    <row r="611">
      <c r="A611" s="47"/>
      <c r="B611" s="47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9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</row>
    <row r="612">
      <c r="A612" s="47"/>
      <c r="B612" s="47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9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</row>
    <row r="613">
      <c r="A613" s="47"/>
      <c r="B613" s="47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9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</row>
    <row r="614">
      <c r="A614" s="47"/>
      <c r="B614" s="47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9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</row>
    <row r="615">
      <c r="A615" s="47"/>
      <c r="B615" s="47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9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</row>
    <row r="616">
      <c r="A616" s="47"/>
      <c r="B616" s="47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9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</row>
    <row r="617">
      <c r="A617" s="47"/>
      <c r="B617" s="47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9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</row>
    <row r="618">
      <c r="A618" s="47"/>
      <c r="B618" s="47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9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</row>
    <row r="619">
      <c r="A619" s="47"/>
      <c r="B619" s="47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9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</row>
    <row r="620">
      <c r="A620" s="47"/>
      <c r="B620" s="47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9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</row>
    <row r="621">
      <c r="A621" s="47"/>
      <c r="B621" s="47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9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</row>
    <row r="622">
      <c r="A622" s="47"/>
      <c r="B622" s="47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9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</row>
    <row r="623">
      <c r="A623" s="47"/>
      <c r="B623" s="47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9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</row>
    <row r="624">
      <c r="A624" s="47"/>
      <c r="B624" s="47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9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</row>
    <row r="625">
      <c r="A625" s="47"/>
      <c r="B625" s="47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9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</row>
    <row r="626">
      <c r="A626" s="47"/>
      <c r="B626" s="47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9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</row>
    <row r="627">
      <c r="A627" s="47"/>
      <c r="B627" s="47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9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</row>
    <row r="628">
      <c r="A628" s="47"/>
      <c r="B628" s="47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9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</row>
    <row r="629">
      <c r="A629" s="47"/>
      <c r="B629" s="47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9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</row>
    <row r="630">
      <c r="A630" s="47"/>
      <c r="B630" s="47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9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</row>
    <row r="631">
      <c r="A631" s="47"/>
      <c r="B631" s="47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9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</row>
    <row r="632">
      <c r="A632" s="47"/>
      <c r="B632" s="47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9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</row>
    <row r="633">
      <c r="A633" s="47"/>
      <c r="B633" s="47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9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</row>
    <row r="634">
      <c r="A634" s="47"/>
      <c r="B634" s="47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9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</row>
    <row r="635">
      <c r="A635" s="47"/>
      <c r="B635" s="47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9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</row>
    <row r="636">
      <c r="A636" s="47"/>
      <c r="B636" s="47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9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</row>
    <row r="637">
      <c r="A637" s="47"/>
      <c r="B637" s="47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9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</row>
    <row r="638">
      <c r="A638" s="47"/>
      <c r="B638" s="47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9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</row>
    <row r="639">
      <c r="A639" s="47"/>
      <c r="B639" s="47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9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</row>
    <row r="640">
      <c r="A640" s="47"/>
      <c r="B640" s="47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9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</row>
    <row r="641">
      <c r="A641" s="47"/>
      <c r="B641" s="47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9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</row>
    <row r="642">
      <c r="A642" s="47"/>
      <c r="B642" s="47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9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</row>
    <row r="643">
      <c r="A643" s="47"/>
      <c r="B643" s="47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9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</row>
    <row r="644">
      <c r="A644" s="47"/>
      <c r="B644" s="47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9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</row>
    <row r="645">
      <c r="A645" s="47"/>
      <c r="B645" s="47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9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</row>
    <row r="646">
      <c r="A646" s="47"/>
      <c r="B646" s="47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9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</row>
    <row r="647">
      <c r="A647" s="47"/>
      <c r="B647" s="47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9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</row>
    <row r="648">
      <c r="A648" s="47"/>
      <c r="B648" s="47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9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</row>
    <row r="649">
      <c r="A649" s="47"/>
      <c r="B649" s="47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9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</row>
    <row r="650">
      <c r="A650" s="47"/>
      <c r="B650" s="47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9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</row>
    <row r="651">
      <c r="A651" s="47"/>
      <c r="B651" s="47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9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</row>
    <row r="652">
      <c r="A652" s="47"/>
      <c r="B652" s="47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9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</row>
    <row r="653">
      <c r="A653" s="47"/>
      <c r="B653" s="47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9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</row>
    <row r="654">
      <c r="A654" s="47"/>
      <c r="B654" s="47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9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</row>
    <row r="655">
      <c r="A655" s="47"/>
      <c r="B655" s="47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9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</row>
    <row r="656">
      <c r="A656" s="47"/>
      <c r="B656" s="47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9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</row>
    <row r="657">
      <c r="A657" s="47"/>
      <c r="B657" s="47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9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</row>
    <row r="658">
      <c r="A658" s="47"/>
      <c r="B658" s="47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9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</row>
    <row r="659">
      <c r="A659" s="47"/>
      <c r="B659" s="47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9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</row>
    <row r="660">
      <c r="A660" s="47"/>
      <c r="B660" s="47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9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</row>
    <row r="661">
      <c r="A661" s="47"/>
      <c r="B661" s="47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9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</row>
    <row r="662">
      <c r="A662" s="47"/>
      <c r="B662" s="47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9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</row>
    <row r="663">
      <c r="A663" s="47"/>
      <c r="B663" s="47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9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</row>
    <row r="664">
      <c r="A664" s="47"/>
      <c r="B664" s="47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9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</row>
    <row r="665">
      <c r="A665" s="47"/>
      <c r="B665" s="47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9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</row>
    <row r="666">
      <c r="A666" s="47"/>
      <c r="B666" s="47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9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</row>
    <row r="667">
      <c r="A667" s="47"/>
      <c r="B667" s="47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9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</row>
    <row r="668">
      <c r="A668" s="47"/>
      <c r="B668" s="47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9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</row>
    <row r="669">
      <c r="A669" s="47"/>
      <c r="B669" s="47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9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</row>
    <row r="670">
      <c r="A670" s="47"/>
      <c r="B670" s="47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9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</row>
    <row r="671">
      <c r="A671" s="47"/>
      <c r="B671" s="47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9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</row>
    <row r="672">
      <c r="A672" s="47"/>
      <c r="B672" s="47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9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</row>
    <row r="673">
      <c r="A673" s="47"/>
      <c r="B673" s="47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9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</row>
    <row r="674">
      <c r="A674" s="47"/>
      <c r="B674" s="47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9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</row>
    <row r="675">
      <c r="A675" s="47"/>
      <c r="B675" s="47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9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</row>
    <row r="676">
      <c r="A676" s="47"/>
      <c r="B676" s="47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9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</row>
    <row r="677">
      <c r="A677" s="47"/>
      <c r="B677" s="47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9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</row>
    <row r="678">
      <c r="A678" s="47"/>
      <c r="B678" s="47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9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</row>
    <row r="679">
      <c r="A679" s="47"/>
      <c r="B679" s="47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9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</row>
    <row r="680">
      <c r="A680" s="47"/>
      <c r="B680" s="47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9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</row>
    <row r="681">
      <c r="A681" s="47"/>
      <c r="B681" s="47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9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</row>
    <row r="682">
      <c r="A682" s="47"/>
      <c r="B682" s="47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9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</row>
    <row r="683">
      <c r="A683" s="47"/>
      <c r="B683" s="47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9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</row>
    <row r="684">
      <c r="A684" s="47"/>
      <c r="B684" s="47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9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</row>
    <row r="685">
      <c r="A685" s="47"/>
      <c r="B685" s="47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9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</row>
    <row r="686">
      <c r="A686" s="47"/>
      <c r="B686" s="47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9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</row>
    <row r="687">
      <c r="A687" s="47"/>
      <c r="B687" s="47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9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</row>
    <row r="688">
      <c r="A688" s="47"/>
      <c r="B688" s="47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9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</row>
    <row r="689">
      <c r="A689" s="47"/>
      <c r="B689" s="47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9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</row>
    <row r="690">
      <c r="A690" s="47"/>
      <c r="B690" s="47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9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</row>
    <row r="691">
      <c r="A691" s="47"/>
      <c r="B691" s="47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9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</row>
    <row r="692">
      <c r="A692" s="47"/>
      <c r="B692" s="47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9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</row>
    <row r="693">
      <c r="A693" s="47"/>
      <c r="B693" s="47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9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</row>
    <row r="694">
      <c r="A694" s="47"/>
      <c r="B694" s="47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9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</row>
    <row r="695">
      <c r="A695" s="47"/>
      <c r="B695" s="47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9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</row>
    <row r="696">
      <c r="A696" s="47"/>
      <c r="B696" s="47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9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</row>
    <row r="697">
      <c r="A697" s="47"/>
      <c r="B697" s="47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9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</row>
    <row r="698">
      <c r="A698" s="47"/>
      <c r="B698" s="47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9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</row>
    <row r="699">
      <c r="A699" s="47"/>
      <c r="B699" s="47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9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</row>
    <row r="700">
      <c r="A700" s="47"/>
      <c r="B700" s="47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9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</row>
    <row r="701">
      <c r="A701" s="47"/>
      <c r="B701" s="47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9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</row>
    <row r="702">
      <c r="A702" s="47"/>
      <c r="B702" s="47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9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</row>
    <row r="703">
      <c r="A703" s="47"/>
      <c r="B703" s="47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9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</row>
    <row r="704">
      <c r="A704" s="47"/>
      <c r="B704" s="47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9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</row>
    <row r="705">
      <c r="A705" s="47"/>
      <c r="B705" s="47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9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</row>
    <row r="706">
      <c r="A706" s="47"/>
      <c r="B706" s="47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9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</row>
    <row r="707">
      <c r="A707" s="47"/>
      <c r="B707" s="47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9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</row>
    <row r="708">
      <c r="A708" s="47"/>
      <c r="B708" s="47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9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</row>
    <row r="709">
      <c r="A709" s="47"/>
      <c r="B709" s="47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9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</row>
    <row r="710">
      <c r="A710" s="47"/>
      <c r="B710" s="47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9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</row>
    <row r="711">
      <c r="A711" s="47"/>
      <c r="B711" s="47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9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</row>
    <row r="712">
      <c r="A712" s="47"/>
      <c r="B712" s="47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9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</row>
    <row r="713">
      <c r="A713" s="47"/>
      <c r="B713" s="47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9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</row>
    <row r="714">
      <c r="A714" s="47"/>
      <c r="B714" s="47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9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</row>
    <row r="715">
      <c r="A715" s="47"/>
      <c r="B715" s="47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9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</row>
    <row r="716">
      <c r="A716" s="47"/>
      <c r="B716" s="47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9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</row>
    <row r="717">
      <c r="A717" s="47"/>
      <c r="B717" s="47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9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</row>
    <row r="718">
      <c r="A718" s="47"/>
      <c r="B718" s="47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9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</row>
    <row r="719">
      <c r="A719" s="47"/>
      <c r="B719" s="47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9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</row>
    <row r="720">
      <c r="A720" s="47"/>
      <c r="B720" s="47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9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</row>
    <row r="721">
      <c r="A721" s="47"/>
      <c r="B721" s="47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9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</row>
    <row r="722">
      <c r="A722" s="47"/>
      <c r="B722" s="47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9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</row>
    <row r="723">
      <c r="A723" s="47"/>
      <c r="B723" s="47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9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</row>
    <row r="724">
      <c r="A724" s="47"/>
      <c r="B724" s="47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9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</row>
    <row r="725">
      <c r="A725" s="47"/>
      <c r="B725" s="47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9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</row>
    <row r="726">
      <c r="A726" s="47"/>
      <c r="B726" s="47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9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</row>
    <row r="727">
      <c r="A727" s="47"/>
      <c r="B727" s="47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9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</row>
    <row r="728">
      <c r="A728" s="47"/>
      <c r="B728" s="47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9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</row>
    <row r="729">
      <c r="A729" s="47"/>
      <c r="B729" s="47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9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</row>
    <row r="730">
      <c r="A730" s="47"/>
      <c r="B730" s="47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9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</row>
    <row r="731">
      <c r="A731" s="47"/>
      <c r="B731" s="47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9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</row>
    <row r="732">
      <c r="A732" s="47"/>
      <c r="B732" s="47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9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</row>
    <row r="733">
      <c r="A733" s="47"/>
      <c r="B733" s="47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9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</row>
    <row r="734">
      <c r="A734" s="47"/>
      <c r="B734" s="47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9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</row>
    <row r="735">
      <c r="A735" s="47"/>
      <c r="B735" s="47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9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</row>
    <row r="736">
      <c r="A736" s="47"/>
      <c r="B736" s="47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9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</row>
    <row r="737">
      <c r="A737" s="47"/>
      <c r="B737" s="47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9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</row>
    <row r="738">
      <c r="A738" s="47"/>
      <c r="B738" s="47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9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</row>
    <row r="739">
      <c r="A739" s="47"/>
      <c r="B739" s="47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9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</row>
    <row r="740">
      <c r="A740" s="47"/>
      <c r="B740" s="47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9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</row>
    <row r="741">
      <c r="A741" s="47"/>
      <c r="B741" s="47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9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</row>
    <row r="742">
      <c r="A742" s="47"/>
      <c r="B742" s="47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9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</row>
    <row r="743">
      <c r="A743" s="47"/>
      <c r="B743" s="47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9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</row>
    <row r="744">
      <c r="A744" s="47"/>
      <c r="B744" s="47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9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</row>
    <row r="745">
      <c r="A745" s="47"/>
      <c r="B745" s="47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9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</row>
    <row r="746">
      <c r="A746" s="47"/>
      <c r="B746" s="47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9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</row>
    <row r="747">
      <c r="A747" s="47"/>
      <c r="B747" s="47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9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</row>
    <row r="748">
      <c r="A748" s="47"/>
      <c r="B748" s="47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9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</row>
    <row r="749">
      <c r="A749" s="47"/>
      <c r="B749" s="47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9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</row>
    <row r="750">
      <c r="A750" s="47"/>
      <c r="B750" s="47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9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</row>
    <row r="751">
      <c r="A751" s="47"/>
      <c r="B751" s="47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9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</row>
    <row r="752">
      <c r="A752" s="47"/>
      <c r="B752" s="47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9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</row>
    <row r="753">
      <c r="A753" s="47"/>
      <c r="B753" s="47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9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</row>
    <row r="754">
      <c r="A754" s="47"/>
      <c r="B754" s="47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9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</row>
    <row r="755">
      <c r="A755" s="47"/>
      <c r="B755" s="47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9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</row>
    <row r="756">
      <c r="A756" s="47"/>
      <c r="B756" s="47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9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</row>
    <row r="757">
      <c r="A757" s="47"/>
      <c r="B757" s="47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9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</row>
    <row r="758">
      <c r="A758" s="47"/>
      <c r="B758" s="47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9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</row>
    <row r="759">
      <c r="A759" s="47"/>
      <c r="B759" s="47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9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</row>
    <row r="760">
      <c r="A760" s="47"/>
      <c r="B760" s="47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9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</row>
    <row r="761">
      <c r="A761" s="47"/>
      <c r="B761" s="47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9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</row>
    <row r="762">
      <c r="A762" s="47"/>
      <c r="B762" s="47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9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</row>
    <row r="763">
      <c r="A763" s="47"/>
      <c r="B763" s="47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9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</row>
    <row r="764">
      <c r="A764" s="47"/>
      <c r="B764" s="47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9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</row>
    <row r="765">
      <c r="A765" s="47"/>
      <c r="B765" s="47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9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</row>
    <row r="766">
      <c r="A766" s="47"/>
      <c r="B766" s="47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9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</row>
    <row r="767">
      <c r="A767" s="47"/>
      <c r="B767" s="47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9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</row>
    <row r="768">
      <c r="A768" s="47"/>
      <c r="B768" s="47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9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</row>
    <row r="769">
      <c r="A769" s="47"/>
      <c r="B769" s="47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9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</row>
    <row r="770">
      <c r="A770" s="47"/>
      <c r="B770" s="47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9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</row>
    <row r="771">
      <c r="A771" s="47"/>
      <c r="B771" s="47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9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</row>
    <row r="772">
      <c r="A772" s="47"/>
      <c r="B772" s="47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9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</row>
    <row r="773">
      <c r="A773" s="47"/>
      <c r="B773" s="47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9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</row>
    <row r="774">
      <c r="A774" s="47"/>
      <c r="B774" s="47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9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</row>
    <row r="775">
      <c r="A775" s="47"/>
      <c r="B775" s="47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9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</row>
    <row r="776">
      <c r="A776" s="47"/>
      <c r="B776" s="47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9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</row>
    <row r="777">
      <c r="A777" s="47"/>
      <c r="B777" s="47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9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</row>
    <row r="778">
      <c r="A778" s="47"/>
      <c r="B778" s="47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9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</row>
    <row r="779">
      <c r="A779" s="47"/>
      <c r="B779" s="47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9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</row>
    <row r="780">
      <c r="A780" s="47"/>
      <c r="B780" s="47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9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</row>
    <row r="781">
      <c r="A781" s="47"/>
      <c r="B781" s="47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9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</row>
    <row r="782">
      <c r="A782" s="47"/>
      <c r="B782" s="47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9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</row>
    <row r="783">
      <c r="A783" s="47"/>
      <c r="B783" s="47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9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</row>
    <row r="784">
      <c r="A784" s="47"/>
      <c r="B784" s="47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9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</row>
    <row r="785">
      <c r="A785" s="47"/>
      <c r="B785" s="47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9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</row>
    <row r="786">
      <c r="A786" s="47"/>
      <c r="B786" s="47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9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</row>
    <row r="787">
      <c r="A787" s="47"/>
      <c r="B787" s="47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9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</row>
    <row r="788">
      <c r="A788" s="47"/>
      <c r="B788" s="47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9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</row>
    <row r="789">
      <c r="A789" s="47"/>
      <c r="B789" s="47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9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</row>
    <row r="790">
      <c r="A790" s="47"/>
      <c r="B790" s="47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9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</row>
    <row r="791">
      <c r="A791" s="47"/>
      <c r="B791" s="47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9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</row>
    <row r="792">
      <c r="A792" s="47"/>
      <c r="B792" s="47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9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</row>
    <row r="793">
      <c r="A793" s="47"/>
      <c r="B793" s="47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9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</row>
    <row r="794">
      <c r="A794" s="47"/>
      <c r="B794" s="47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9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</row>
    <row r="795">
      <c r="A795" s="47"/>
      <c r="B795" s="47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9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</row>
    <row r="796">
      <c r="A796" s="47"/>
      <c r="B796" s="47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9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</row>
    <row r="797">
      <c r="A797" s="47"/>
      <c r="B797" s="47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9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</row>
    <row r="798">
      <c r="A798" s="47"/>
      <c r="B798" s="47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9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</row>
    <row r="799">
      <c r="A799" s="47"/>
      <c r="B799" s="47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9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</row>
    <row r="800">
      <c r="A800" s="47"/>
      <c r="B800" s="47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9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</row>
    <row r="801">
      <c r="A801" s="47"/>
      <c r="B801" s="47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9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</row>
    <row r="802">
      <c r="A802" s="47"/>
      <c r="B802" s="47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9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</row>
    <row r="803">
      <c r="A803" s="47"/>
      <c r="B803" s="47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9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</row>
    <row r="804">
      <c r="A804" s="47"/>
      <c r="B804" s="47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9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</row>
    <row r="805">
      <c r="A805" s="47"/>
      <c r="B805" s="47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9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</row>
    <row r="806">
      <c r="A806" s="47"/>
      <c r="B806" s="47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9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</row>
    <row r="807">
      <c r="A807" s="47"/>
      <c r="B807" s="47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9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</row>
    <row r="808">
      <c r="A808" s="47"/>
      <c r="B808" s="47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9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</row>
    <row r="809">
      <c r="A809" s="47"/>
      <c r="B809" s="47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9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</row>
    <row r="810">
      <c r="A810" s="47"/>
      <c r="B810" s="47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9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</row>
    <row r="811">
      <c r="A811" s="47"/>
      <c r="B811" s="47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9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</row>
    <row r="812">
      <c r="A812" s="47"/>
      <c r="B812" s="47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9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</row>
    <row r="813">
      <c r="A813" s="47"/>
      <c r="B813" s="47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9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</row>
    <row r="814">
      <c r="A814" s="47"/>
      <c r="B814" s="47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9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</row>
    <row r="815">
      <c r="A815" s="47"/>
      <c r="B815" s="47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9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</row>
    <row r="816">
      <c r="A816" s="47"/>
      <c r="B816" s="47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9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</row>
    <row r="817">
      <c r="A817" s="47"/>
      <c r="B817" s="47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9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</row>
    <row r="818">
      <c r="A818" s="47"/>
      <c r="B818" s="47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9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</row>
    <row r="819">
      <c r="A819" s="47"/>
      <c r="B819" s="47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9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</row>
    <row r="820">
      <c r="A820" s="47"/>
      <c r="B820" s="47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9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</row>
    <row r="821">
      <c r="A821" s="47"/>
      <c r="B821" s="47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9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</row>
    <row r="822">
      <c r="A822" s="47"/>
      <c r="B822" s="47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9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</row>
    <row r="823">
      <c r="A823" s="47"/>
      <c r="B823" s="47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9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</row>
    <row r="824">
      <c r="A824" s="47"/>
      <c r="B824" s="47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9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</row>
    <row r="825">
      <c r="A825" s="47"/>
      <c r="B825" s="47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9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</row>
    <row r="826">
      <c r="A826" s="47"/>
      <c r="B826" s="47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9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</row>
    <row r="827">
      <c r="A827" s="47"/>
      <c r="B827" s="47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9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</row>
    <row r="828">
      <c r="A828" s="47"/>
      <c r="B828" s="47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9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</row>
    <row r="829">
      <c r="A829" s="47"/>
      <c r="B829" s="47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9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</row>
    <row r="830">
      <c r="A830" s="47"/>
      <c r="B830" s="47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9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</row>
    <row r="831">
      <c r="A831" s="47"/>
      <c r="B831" s="47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9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</row>
    <row r="832">
      <c r="A832" s="47"/>
      <c r="B832" s="47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9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</row>
    <row r="833">
      <c r="A833" s="47"/>
      <c r="B833" s="47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9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</row>
    <row r="834">
      <c r="A834" s="47"/>
      <c r="B834" s="47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9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</row>
    <row r="835">
      <c r="A835" s="47"/>
      <c r="B835" s="47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9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</row>
    <row r="836">
      <c r="A836" s="47"/>
      <c r="B836" s="47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9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</row>
    <row r="837">
      <c r="A837" s="47"/>
      <c r="B837" s="47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9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</row>
    <row r="838">
      <c r="A838" s="47"/>
      <c r="B838" s="47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9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</row>
    <row r="839">
      <c r="A839" s="47"/>
      <c r="B839" s="47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9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</row>
    <row r="840">
      <c r="A840" s="47"/>
      <c r="B840" s="47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9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</row>
    <row r="841">
      <c r="A841" s="47"/>
      <c r="B841" s="47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9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</row>
    <row r="842">
      <c r="A842" s="47"/>
      <c r="B842" s="47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9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</row>
    <row r="843">
      <c r="A843" s="47"/>
      <c r="B843" s="47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9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</row>
    <row r="844">
      <c r="A844" s="47"/>
      <c r="B844" s="47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9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</row>
    <row r="845">
      <c r="A845" s="47"/>
      <c r="B845" s="47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9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</row>
    <row r="846">
      <c r="A846" s="47"/>
      <c r="B846" s="47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9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</row>
    <row r="847">
      <c r="A847" s="47"/>
      <c r="B847" s="47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9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</row>
    <row r="848">
      <c r="A848" s="47"/>
      <c r="B848" s="47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9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</row>
    <row r="849">
      <c r="A849" s="47"/>
      <c r="B849" s="47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9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</row>
    <row r="850">
      <c r="A850" s="47"/>
      <c r="B850" s="47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9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</row>
    <row r="851">
      <c r="A851" s="47"/>
      <c r="B851" s="47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9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</row>
    <row r="852">
      <c r="A852" s="47"/>
      <c r="B852" s="47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9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</row>
    <row r="853">
      <c r="A853" s="47"/>
      <c r="B853" s="47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9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</row>
    <row r="854">
      <c r="A854" s="47"/>
      <c r="B854" s="47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9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</row>
    <row r="855">
      <c r="A855" s="47"/>
      <c r="B855" s="47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9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</row>
    <row r="856">
      <c r="A856" s="47"/>
      <c r="B856" s="47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9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</row>
    <row r="857">
      <c r="A857" s="47"/>
      <c r="B857" s="47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9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</row>
    <row r="858">
      <c r="A858" s="47"/>
      <c r="B858" s="47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9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</row>
    <row r="859">
      <c r="A859" s="47"/>
      <c r="B859" s="47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9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</row>
    <row r="860">
      <c r="A860" s="47"/>
      <c r="B860" s="47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9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</row>
    <row r="861">
      <c r="A861" s="47"/>
      <c r="B861" s="47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9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</row>
    <row r="862">
      <c r="A862" s="47"/>
      <c r="B862" s="47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9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</row>
    <row r="863">
      <c r="A863" s="47"/>
      <c r="B863" s="47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9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</row>
    <row r="864">
      <c r="A864" s="47"/>
      <c r="B864" s="47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9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</row>
    <row r="865">
      <c r="A865" s="47"/>
      <c r="B865" s="47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9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</row>
    <row r="866">
      <c r="A866" s="47"/>
      <c r="B866" s="47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9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</row>
    <row r="867">
      <c r="A867" s="47"/>
      <c r="B867" s="47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9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</row>
    <row r="868">
      <c r="A868" s="47"/>
      <c r="B868" s="47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9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</row>
    <row r="869">
      <c r="A869" s="47"/>
      <c r="B869" s="47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9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</row>
    <row r="870">
      <c r="A870" s="47"/>
      <c r="B870" s="47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9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</row>
    <row r="871">
      <c r="A871" s="47"/>
      <c r="B871" s="47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9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</row>
    <row r="872">
      <c r="A872" s="47"/>
      <c r="B872" s="47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9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</row>
    <row r="873">
      <c r="A873" s="47"/>
      <c r="B873" s="47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9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</row>
    <row r="874">
      <c r="A874" s="47"/>
      <c r="B874" s="47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9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</row>
    <row r="875">
      <c r="A875" s="47"/>
      <c r="B875" s="47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9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</row>
    <row r="876">
      <c r="A876" s="47"/>
      <c r="B876" s="47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9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</row>
    <row r="877">
      <c r="A877" s="47"/>
      <c r="B877" s="47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9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</row>
    <row r="878">
      <c r="A878" s="47"/>
      <c r="B878" s="47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9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</row>
    <row r="879">
      <c r="A879" s="47"/>
      <c r="B879" s="47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9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</row>
    <row r="880">
      <c r="A880" s="47"/>
      <c r="B880" s="47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9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</row>
    <row r="881">
      <c r="A881" s="47"/>
      <c r="B881" s="47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9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</row>
    <row r="882">
      <c r="A882" s="47"/>
      <c r="B882" s="47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9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</row>
    <row r="883">
      <c r="A883" s="47"/>
      <c r="B883" s="47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9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</row>
    <row r="884">
      <c r="A884" s="47"/>
      <c r="B884" s="47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9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</row>
    <row r="885">
      <c r="A885" s="47"/>
      <c r="B885" s="47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9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</row>
    <row r="886">
      <c r="A886" s="47"/>
      <c r="B886" s="47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9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</row>
    <row r="887">
      <c r="A887" s="47"/>
      <c r="B887" s="47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9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</row>
    <row r="888">
      <c r="A888" s="47"/>
      <c r="B888" s="47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9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</row>
    <row r="889">
      <c r="A889" s="47"/>
      <c r="B889" s="47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9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</row>
    <row r="890">
      <c r="A890" s="47"/>
      <c r="B890" s="47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9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</row>
    <row r="891">
      <c r="A891" s="47"/>
      <c r="B891" s="47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9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</row>
    <row r="892">
      <c r="A892" s="47"/>
      <c r="B892" s="47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9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</row>
    <row r="893">
      <c r="A893" s="47"/>
      <c r="B893" s="47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9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</row>
    <row r="894">
      <c r="A894" s="47"/>
      <c r="B894" s="47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9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</row>
    <row r="895">
      <c r="A895" s="47"/>
      <c r="B895" s="47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9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</row>
    <row r="896">
      <c r="A896" s="47"/>
      <c r="B896" s="47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9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</row>
    <row r="897">
      <c r="A897" s="47"/>
      <c r="B897" s="47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9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</row>
    <row r="898">
      <c r="A898" s="47"/>
      <c r="B898" s="47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9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</row>
    <row r="899">
      <c r="A899" s="47"/>
      <c r="B899" s="47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9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</row>
    <row r="900">
      <c r="A900" s="47"/>
      <c r="B900" s="47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9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</row>
    <row r="901">
      <c r="A901" s="47"/>
      <c r="B901" s="47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9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</row>
    <row r="902">
      <c r="A902" s="47"/>
      <c r="B902" s="47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9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</row>
    <row r="903">
      <c r="A903" s="47"/>
      <c r="B903" s="47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9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</row>
    <row r="904">
      <c r="A904" s="47"/>
      <c r="B904" s="47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9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</row>
    <row r="905">
      <c r="A905" s="47"/>
      <c r="B905" s="47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9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</row>
    <row r="906">
      <c r="A906" s="47"/>
      <c r="B906" s="47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9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</row>
    <row r="907">
      <c r="A907" s="47"/>
      <c r="B907" s="47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9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</row>
    <row r="908">
      <c r="A908" s="47"/>
      <c r="B908" s="47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9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</row>
    <row r="909">
      <c r="A909" s="47"/>
      <c r="B909" s="47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9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</row>
    <row r="910">
      <c r="A910" s="47"/>
      <c r="B910" s="47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9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</row>
    <row r="911">
      <c r="A911" s="47"/>
      <c r="B911" s="47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9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</row>
    <row r="912">
      <c r="A912" s="47"/>
      <c r="B912" s="47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9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</row>
    <row r="913">
      <c r="A913" s="47"/>
      <c r="B913" s="47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9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</row>
    <row r="914">
      <c r="A914" s="47"/>
      <c r="B914" s="47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9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</row>
    <row r="915">
      <c r="A915" s="47"/>
      <c r="B915" s="47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9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</row>
    <row r="916">
      <c r="A916" s="47"/>
      <c r="B916" s="47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9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</row>
    <row r="917">
      <c r="A917" s="47"/>
      <c r="B917" s="47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9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</row>
    <row r="918">
      <c r="A918" s="47"/>
      <c r="B918" s="47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9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</row>
    <row r="919">
      <c r="A919" s="47"/>
      <c r="B919" s="47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9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</row>
    <row r="920">
      <c r="A920" s="47"/>
      <c r="B920" s="47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9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</row>
    <row r="921">
      <c r="A921" s="47"/>
      <c r="B921" s="47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9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</row>
    <row r="922">
      <c r="A922" s="47"/>
      <c r="B922" s="47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9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</row>
    <row r="923">
      <c r="A923" s="47"/>
      <c r="B923" s="47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9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</row>
    <row r="924">
      <c r="A924" s="47"/>
      <c r="B924" s="47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9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</row>
    <row r="925">
      <c r="A925" s="47"/>
      <c r="B925" s="47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9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</row>
    <row r="926">
      <c r="A926" s="47"/>
      <c r="B926" s="47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9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</row>
    <row r="927">
      <c r="A927" s="47"/>
      <c r="B927" s="47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9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</row>
    <row r="928">
      <c r="A928" s="47"/>
      <c r="B928" s="47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9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</row>
    <row r="929">
      <c r="A929" s="47"/>
      <c r="B929" s="47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9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</row>
    <row r="930">
      <c r="A930" s="47"/>
      <c r="B930" s="47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9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</row>
    <row r="931">
      <c r="A931" s="47"/>
      <c r="B931" s="47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9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</row>
    <row r="932">
      <c r="A932" s="47"/>
      <c r="B932" s="47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9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</row>
    <row r="933">
      <c r="A933" s="47"/>
      <c r="B933" s="47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9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</row>
    <row r="934">
      <c r="A934" s="47"/>
      <c r="B934" s="47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9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</row>
    <row r="935">
      <c r="A935" s="47"/>
      <c r="B935" s="47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9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</row>
    <row r="936">
      <c r="A936" s="47"/>
      <c r="B936" s="47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9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</row>
    <row r="937">
      <c r="A937" s="47"/>
      <c r="B937" s="47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9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</row>
    <row r="938">
      <c r="A938" s="47"/>
      <c r="B938" s="47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9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</row>
    <row r="939">
      <c r="A939" s="47"/>
      <c r="B939" s="47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9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</row>
    <row r="940">
      <c r="A940" s="47"/>
      <c r="B940" s="47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9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</row>
    <row r="941">
      <c r="A941" s="47"/>
      <c r="B941" s="47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9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</row>
    <row r="942">
      <c r="A942" s="47"/>
      <c r="B942" s="47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9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</row>
    <row r="943">
      <c r="A943" s="47"/>
      <c r="B943" s="47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9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</row>
    <row r="944">
      <c r="A944" s="47"/>
      <c r="B944" s="47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9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</row>
    <row r="945">
      <c r="A945" s="47"/>
      <c r="B945" s="47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9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</row>
    <row r="946">
      <c r="A946" s="47"/>
      <c r="B946" s="47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9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</row>
    <row r="947">
      <c r="A947" s="47"/>
      <c r="B947" s="47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9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</row>
    <row r="948">
      <c r="A948" s="47"/>
      <c r="B948" s="47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9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</row>
    <row r="949">
      <c r="A949" s="47"/>
      <c r="B949" s="47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9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</row>
    <row r="950">
      <c r="A950" s="47"/>
      <c r="B950" s="47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9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</row>
    <row r="951">
      <c r="A951" s="47"/>
      <c r="B951" s="47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9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</row>
    <row r="952">
      <c r="A952" s="47"/>
      <c r="B952" s="47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9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</row>
    <row r="953">
      <c r="A953" s="47"/>
      <c r="B953" s="47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9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</row>
    <row r="954">
      <c r="A954" s="47"/>
      <c r="B954" s="47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9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</row>
    <row r="955">
      <c r="A955" s="47"/>
      <c r="B955" s="47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9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</row>
    <row r="956">
      <c r="A956" s="47"/>
      <c r="B956" s="47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9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</row>
    <row r="957">
      <c r="A957" s="47"/>
      <c r="B957" s="47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9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</row>
    <row r="958">
      <c r="A958" s="47"/>
      <c r="B958" s="47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9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</row>
    <row r="959">
      <c r="A959" s="47"/>
      <c r="B959" s="47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9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</row>
    <row r="960">
      <c r="A960" s="47"/>
      <c r="B960" s="47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9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</row>
    <row r="961">
      <c r="A961" s="47"/>
      <c r="B961" s="47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9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</row>
    <row r="962">
      <c r="A962" s="47"/>
      <c r="B962" s="47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9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</row>
    <row r="963">
      <c r="A963" s="47"/>
      <c r="B963" s="47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9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</row>
    <row r="964">
      <c r="A964" s="47"/>
      <c r="B964" s="47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9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</row>
    <row r="965">
      <c r="A965" s="47"/>
      <c r="B965" s="47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9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</row>
    <row r="966">
      <c r="A966" s="47"/>
      <c r="B966" s="47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9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</row>
    <row r="967">
      <c r="A967" s="47"/>
      <c r="B967" s="47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9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</row>
    <row r="968">
      <c r="A968" s="47"/>
      <c r="B968" s="47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9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</row>
    <row r="969">
      <c r="A969" s="47"/>
      <c r="B969" s="47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9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</row>
    <row r="970">
      <c r="A970" s="47"/>
      <c r="B970" s="47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9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</row>
    <row r="971">
      <c r="A971" s="47"/>
      <c r="B971" s="47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9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</row>
    <row r="972">
      <c r="A972" s="47"/>
      <c r="B972" s="47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9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</row>
    <row r="973">
      <c r="A973" s="47"/>
      <c r="B973" s="47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9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</row>
    <row r="974">
      <c r="A974" s="47"/>
      <c r="B974" s="47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9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</row>
    <row r="975">
      <c r="A975" s="47"/>
      <c r="B975" s="47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9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</row>
    <row r="976">
      <c r="A976" s="47"/>
      <c r="B976" s="47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9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</row>
    <row r="977">
      <c r="A977" s="47"/>
      <c r="B977" s="47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9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</row>
    <row r="978">
      <c r="A978" s="47"/>
      <c r="B978" s="47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9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</row>
    <row r="979">
      <c r="A979" s="47"/>
      <c r="B979" s="47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9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</row>
    <row r="980">
      <c r="A980" s="47"/>
      <c r="B980" s="47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9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</row>
    <row r="981">
      <c r="A981" s="47"/>
      <c r="B981" s="47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9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</row>
    <row r="982">
      <c r="A982" s="47"/>
      <c r="B982" s="47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9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</row>
    <row r="983">
      <c r="A983" s="47"/>
      <c r="B983" s="47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9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</row>
    <row r="984">
      <c r="A984" s="47"/>
      <c r="B984" s="47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9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</row>
    <row r="985">
      <c r="A985" s="47"/>
      <c r="B985" s="47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9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</row>
    <row r="986">
      <c r="A986" s="47"/>
      <c r="B986" s="47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9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</row>
    <row r="987">
      <c r="A987" s="47"/>
      <c r="B987" s="47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9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</row>
    <row r="988">
      <c r="A988" s="47"/>
      <c r="B988" s="47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9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</row>
    <row r="989">
      <c r="A989" s="47"/>
      <c r="B989" s="47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9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</row>
    <row r="990">
      <c r="A990" s="47"/>
      <c r="B990" s="47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9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</row>
    <row r="991">
      <c r="A991" s="47"/>
      <c r="B991" s="47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9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</row>
    <row r="992">
      <c r="A992" s="47"/>
      <c r="B992" s="47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9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</row>
    <row r="993">
      <c r="A993" s="47"/>
      <c r="B993" s="47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9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</row>
    <row r="994">
      <c r="A994" s="47"/>
      <c r="B994" s="47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9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</row>
    <row r="995">
      <c r="A995" s="47"/>
      <c r="B995" s="47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9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</row>
    <row r="996">
      <c r="A996" s="47"/>
      <c r="B996" s="47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9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</row>
    <row r="997">
      <c r="A997" s="47"/>
      <c r="B997" s="47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9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</row>
    <row r="998">
      <c r="A998" s="47"/>
      <c r="B998" s="47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9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</row>
    <row r="999">
      <c r="A999" s="47"/>
      <c r="B999" s="47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9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</row>
    <row r="1000">
      <c r="A1000" s="47"/>
      <c r="B1000" s="47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9"/>
      <c r="X1000" s="48"/>
      <c r="Y1000" s="48"/>
      <c r="Z1000" s="48"/>
      <c r="AA1000" s="48"/>
      <c r="AB1000" s="48"/>
      <c r="AC1000" s="48"/>
      <c r="AD1000" s="48"/>
      <c r="AE1000" s="48"/>
      <c r="AF1000" s="48"/>
      <c r="AG1000" s="48"/>
    </row>
  </sheetData>
  <autoFilter ref="$B$3:$AG$7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2" max="2" width="20.63"/>
    <col customWidth="1" min="4" max="4" width="26.25"/>
    <col customWidth="1" min="5" max="5" width="56.88"/>
    <col customWidth="1" min="6" max="6" width="16.88"/>
    <col customWidth="1" min="9" max="9" width="25.25"/>
    <col customWidth="1" min="10" max="10" width="27.38"/>
  </cols>
  <sheetData>
    <row r="1" ht="52.5" customHeight="1">
      <c r="A1" s="26" t="s">
        <v>168</v>
      </c>
      <c r="B1" s="50"/>
      <c r="C1" s="50"/>
      <c r="D1" s="51"/>
      <c r="E1" s="52"/>
      <c r="F1" s="51"/>
      <c r="G1" s="51"/>
      <c r="H1" s="51"/>
      <c r="I1" s="50"/>
    </row>
    <row r="2">
      <c r="A2" s="53" t="s">
        <v>169</v>
      </c>
      <c r="B2" s="54" t="s">
        <v>170</v>
      </c>
      <c r="C2" s="53" t="s">
        <v>171</v>
      </c>
      <c r="D2" s="55" t="s">
        <v>172</v>
      </c>
      <c r="E2" s="55" t="s">
        <v>173</v>
      </c>
      <c r="F2" s="55" t="s">
        <v>174</v>
      </c>
      <c r="G2" s="56" t="s">
        <v>175</v>
      </c>
      <c r="H2" s="56" t="s">
        <v>176</v>
      </c>
      <c r="I2" s="54" t="s">
        <v>177</v>
      </c>
      <c r="J2" s="54" t="s">
        <v>178</v>
      </c>
    </row>
    <row r="3">
      <c r="A3" s="57">
        <v>1.0</v>
      </c>
      <c r="B3" s="58" t="s">
        <v>68</v>
      </c>
      <c r="C3" s="57">
        <f>1</f>
        <v>1</v>
      </c>
      <c r="D3" s="59" t="s">
        <v>179</v>
      </c>
      <c r="E3" s="60" t="s">
        <v>180</v>
      </c>
      <c r="F3" s="58"/>
      <c r="G3" s="58">
        <v>2.0</v>
      </c>
      <c r="H3" s="58">
        <v>2.0</v>
      </c>
      <c r="I3" s="58">
        <v>1.0</v>
      </c>
      <c r="J3" s="61" t="s">
        <v>181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57">
        <v>1.0</v>
      </c>
      <c r="B4" s="58" t="s">
        <v>68</v>
      </c>
      <c r="C4" s="57">
        <f t="shared" ref="C4:C10" si="1">C3+1</f>
        <v>2</v>
      </c>
      <c r="D4" s="62" t="s">
        <v>182</v>
      </c>
      <c r="E4" s="63" t="s">
        <v>183</v>
      </c>
      <c r="F4" s="58">
        <v>2.0</v>
      </c>
      <c r="G4" s="57">
        <v>2.0</v>
      </c>
      <c r="H4" s="57">
        <v>6.0</v>
      </c>
      <c r="I4" s="58">
        <v>1.0</v>
      </c>
      <c r="J4" s="61" t="s">
        <v>181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57">
        <v>2.0</v>
      </c>
      <c r="B5" s="58" t="s">
        <v>69</v>
      </c>
      <c r="C5" s="57">
        <f t="shared" si="1"/>
        <v>3</v>
      </c>
      <c r="D5" s="62" t="s">
        <v>184</v>
      </c>
      <c r="E5" s="63" t="s">
        <v>185</v>
      </c>
      <c r="F5" s="57"/>
      <c r="G5" s="57">
        <v>1.0</v>
      </c>
      <c r="H5" s="57">
        <v>3.0</v>
      </c>
      <c r="I5" s="58">
        <v>10.0</v>
      </c>
      <c r="J5" s="64" t="s">
        <v>186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57">
        <v>2.0</v>
      </c>
      <c r="B6" s="58" t="s">
        <v>69</v>
      </c>
      <c r="C6" s="57">
        <f t="shared" si="1"/>
        <v>4</v>
      </c>
      <c r="D6" s="62" t="s">
        <v>187</v>
      </c>
      <c r="E6" s="63" t="s">
        <v>188</v>
      </c>
      <c r="F6" s="57"/>
      <c r="G6" s="57">
        <v>1.0</v>
      </c>
      <c r="H6" s="57">
        <v>3.0</v>
      </c>
      <c r="I6" s="58">
        <v>9.0</v>
      </c>
      <c r="J6" s="64" t="s">
        <v>189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58">
        <v>2.0</v>
      </c>
      <c r="B7" s="58" t="s">
        <v>69</v>
      </c>
      <c r="C7" s="57">
        <f t="shared" si="1"/>
        <v>5</v>
      </c>
      <c r="D7" s="62" t="s">
        <v>190</v>
      </c>
      <c r="E7" s="63" t="s">
        <v>191</v>
      </c>
      <c r="F7" s="57"/>
      <c r="G7" s="58">
        <v>1.0</v>
      </c>
      <c r="H7" s="58">
        <v>2.0</v>
      </c>
      <c r="I7" s="58">
        <v>19.0</v>
      </c>
      <c r="J7" s="64" t="s">
        <v>13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57">
        <v>3.0</v>
      </c>
      <c r="B8" s="58" t="s">
        <v>68</v>
      </c>
      <c r="C8" s="57">
        <f t="shared" si="1"/>
        <v>6</v>
      </c>
      <c r="D8" s="62" t="s">
        <v>192</v>
      </c>
      <c r="E8" s="63" t="s">
        <v>193</v>
      </c>
      <c r="F8" s="57"/>
      <c r="G8" s="58">
        <v>2.0</v>
      </c>
      <c r="H8" s="57">
        <v>6.0</v>
      </c>
      <c r="I8" s="58">
        <v>18.0</v>
      </c>
      <c r="J8" s="64" t="s">
        <v>181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58">
        <v>3.0</v>
      </c>
      <c r="B9" s="58" t="s">
        <v>68</v>
      </c>
      <c r="C9" s="57">
        <f t="shared" si="1"/>
        <v>7</v>
      </c>
      <c r="D9" s="62" t="s">
        <v>194</v>
      </c>
      <c r="E9" s="63" t="s">
        <v>195</v>
      </c>
      <c r="F9" s="58">
        <v>6.0</v>
      </c>
      <c r="G9" s="58">
        <v>1.0</v>
      </c>
      <c r="H9" s="58">
        <v>2.0</v>
      </c>
      <c r="I9" s="58" t="s">
        <v>196</v>
      </c>
      <c r="J9" s="64" t="s">
        <v>197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57">
        <v>4.0</v>
      </c>
      <c r="B10" s="58" t="s">
        <v>68</v>
      </c>
      <c r="C10" s="57">
        <f t="shared" si="1"/>
        <v>8</v>
      </c>
      <c r="D10" s="62" t="s">
        <v>198</v>
      </c>
      <c r="E10" s="63" t="s">
        <v>199</v>
      </c>
      <c r="F10" s="58"/>
      <c r="G10" s="57">
        <v>2.0</v>
      </c>
      <c r="H10" s="57">
        <v>6.0</v>
      </c>
      <c r="I10" s="58">
        <v>18.0</v>
      </c>
      <c r="J10" s="64" t="s">
        <v>181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57">
        <v>6.0</v>
      </c>
      <c r="B11" s="58" t="s">
        <v>69</v>
      </c>
      <c r="C11" s="57">
        <f>C9+1</f>
        <v>8</v>
      </c>
      <c r="D11" s="62" t="s">
        <v>200</v>
      </c>
      <c r="E11" s="63" t="s">
        <v>201</v>
      </c>
      <c r="F11" s="57"/>
      <c r="G11" s="57">
        <v>1.0</v>
      </c>
      <c r="H11" s="58">
        <v>3.0</v>
      </c>
      <c r="I11" s="58">
        <v>10.0</v>
      </c>
      <c r="J11" s="64" t="s">
        <v>186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58">
        <v>6.0</v>
      </c>
      <c r="B12" s="58" t="s">
        <v>69</v>
      </c>
      <c r="C12" s="57">
        <f t="shared" ref="C12:C76" si="2">C11+1</f>
        <v>9</v>
      </c>
      <c r="D12" s="62" t="s">
        <v>202</v>
      </c>
      <c r="E12" s="63" t="s">
        <v>203</v>
      </c>
      <c r="F12" s="57"/>
      <c r="G12" s="58">
        <v>1.0</v>
      </c>
      <c r="H12" s="57">
        <v>4.0</v>
      </c>
      <c r="I12" s="58">
        <v>9.0</v>
      </c>
      <c r="J12" s="64" t="s">
        <v>189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57"/>
      <c r="B13" s="58" t="s">
        <v>70</v>
      </c>
      <c r="C13" s="57">
        <f t="shared" si="2"/>
        <v>10</v>
      </c>
      <c r="D13" s="62" t="s">
        <v>204</v>
      </c>
      <c r="E13" s="63"/>
      <c r="F13" s="57"/>
      <c r="G13" s="57"/>
      <c r="H13" s="58"/>
      <c r="I13" s="58">
        <v>3.0</v>
      </c>
      <c r="J13" s="61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57">
        <v>7.0</v>
      </c>
      <c r="B14" s="58" t="s">
        <v>70</v>
      </c>
      <c r="C14" s="57">
        <f t="shared" si="2"/>
        <v>11</v>
      </c>
      <c r="D14" s="62" t="s">
        <v>205</v>
      </c>
      <c r="E14" s="63" t="s">
        <v>206</v>
      </c>
      <c r="F14" s="57"/>
      <c r="G14" s="57">
        <v>2.0</v>
      </c>
      <c r="H14" s="58">
        <v>6.0</v>
      </c>
      <c r="I14" s="58">
        <v>23.0</v>
      </c>
      <c r="J14" s="61" t="s">
        <v>181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57">
        <v>8.0</v>
      </c>
      <c r="B15" s="58" t="s">
        <v>69</v>
      </c>
      <c r="C15" s="57">
        <f t="shared" si="2"/>
        <v>12</v>
      </c>
      <c r="D15" s="62" t="s">
        <v>207</v>
      </c>
      <c r="E15" s="63" t="s">
        <v>208</v>
      </c>
      <c r="F15" s="57"/>
      <c r="G15" s="58">
        <v>1.0</v>
      </c>
      <c r="H15" s="58">
        <v>4.0</v>
      </c>
      <c r="I15" s="58">
        <v>21.0</v>
      </c>
      <c r="J15" s="64" t="s">
        <v>13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58">
        <v>8.0</v>
      </c>
      <c r="B16" s="58" t="s">
        <v>69</v>
      </c>
      <c r="C16" s="57">
        <f t="shared" si="2"/>
        <v>13</v>
      </c>
      <c r="D16" s="62" t="s">
        <v>209</v>
      </c>
      <c r="E16" s="63" t="s">
        <v>210</v>
      </c>
      <c r="F16" s="57"/>
      <c r="G16" s="58">
        <v>1.0</v>
      </c>
      <c r="H16" s="57">
        <v>4.0</v>
      </c>
      <c r="I16" s="58">
        <v>9.0</v>
      </c>
      <c r="J16" s="64" t="s">
        <v>189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58">
        <v>9.0</v>
      </c>
      <c r="B17" s="58" t="s">
        <v>70</v>
      </c>
      <c r="C17" s="57">
        <f t="shared" si="2"/>
        <v>14</v>
      </c>
      <c r="D17" s="62" t="s">
        <v>211</v>
      </c>
      <c r="E17" s="63" t="s">
        <v>212</v>
      </c>
      <c r="F17" s="58"/>
      <c r="G17" s="58">
        <v>1.0</v>
      </c>
      <c r="H17" s="58">
        <v>2.0</v>
      </c>
      <c r="I17" s="58">
        <v>3.0</v>
      </c>
      <c r="J17" s="64" t="s">
        <v>213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57">
        <v>10.0</v>
      </c>
      <c r="B18" s="58" t="s">
        <v>69</v>
      </c>
      <c r="C18" s="57">
        <f t="shared" si="2"/>
        <v>15</v>
      </c>
      <c r="D18" s="62" t="s">
        <v>214</v>
      </c>
      <c r="E18" s="63" t="s">
        <v>215</v>
      </c>
      <c r="F18" s="57"/>
      <c r="G18" s="58">
        <v>1.0</v>
      </c>
      <c r="H18" s="57">
        <v>4.0</v>
      </c>
      <c r="I18" s="58">
        <v>10.0</v>
      </c>
      <c r="J18" s="64" t="s">
        <v>186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58">
        <v>10.0</v>
      </c>
      <c r="B19" s="58" t="s">
        <v>69</v>
      </c>
      <c r="C19" s="57">
        <f t="shared" si="2"/>
        <v>16</v>
      </c>
      <c r="D19" s="62" t="s">
        <v>216</v>
      </c>
      <c r="E19" s="63" t="s">
        <v>217</v>
      </c>
      <c r="F19" s="57"/>
      <c r="G19" s="57">
        <v>1.0</v>
      </c>
      <c r="H19" s="57">
        <v>4.0</v>
      </c>
      <c r="I19" s="58">
        <v>21.0</v>
      </c>
      <c r="J19" s="64" t="s">
        <v>13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58">
        <v>10.0</v>
      </c>
      <c r="B20" s="58" t="s">
        <v>70</v>
      </c>
      <c r="C20" s="57">
        <f t="shared" si="2"/>
        <v>17</v>
      </c>
      <c r="D20" s="62" t="s">
        <v>218</v>
      </c>
      <c r="E20" s="63" t="s">
        <v>219</v>
      </c>
      <c r="F20" s="58">
        <v>16.0</v>
      </c>
      <c r="G20" s="58">
        <v>1.0</v>
      </c>
      <c r="H20" s="58">
        <v>3.0</v>
      </c>
      <c r="I20" s="58" t="s">
        <v>220</v>
      </c>
      <c r="J20" s="64" t="s">
        <v>181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58">
        <v>11.0</v>
      </c>
      <c r="B21" s="58" t="s">
        <v>70</v>
      </c>
      <c r="C21" s="57">
        <f t="shared" si="2"/>
        <v>18</v>
      </c>
      <c r="D21" s="62" t="s">
        <v>221</v>
      </c>
      <c r="E21" s="63" t="s">
        <v>222</v>
      </c>
      <c r="F21" s="57"/>
      <c r="G21" s="58">
        <v>1.0</v>
      </c>
      <c r="H21" s="58">
        <v>2.0</v>
      </c>
      <c r="I21" s="58">
        <v>9.0</v>
      </c>
      <c r="J21" s="64" t="s">
        <v>49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57">
        <v>11.0</v>
      </c>
      <c r="B22" s="58" t="s">
        <v>70</v>
      </c>
      <c r="C22" s="57">
        <f t="shared" si="2"/>
        <v>19</v>
      </c>
      <c r="D22" s="62" t="s">
        <v>223</v>
      </c>
      <c r="E22" s="63" t="s">
        <v>224</v>
      </c>
      <c r="F22" s="58">
        <v>18.0</v>
      </c>
      <c r="G22" s="58">
        <v>1.0</v>
      </c>
      <c r="H22" s="58">
        <v>4.0</v>
      </c>
      <c r="I22" s="58" t="s">
        <v>225</v>
      </c>
      <c r="J22" s="64" t="s">
        <v>49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57">
        <v>11.0</v>
      </c>
      <c r="B23" s="58" t="s">
        <v>70</v>
      </c>
      <c r="C23" s="57">
        <f t="shared" si="2"/>
        <v>20</v>
      </c>
      <c r="D23" s="62" t="s">
        <v>226</v>
      </c>
      <c r="E23" s="65" t="s">
        <v>227</v>
      </c>
      <c r="F23" s="57"/>
      <c r="G23" s="58">
        <v>1.0</v>
      </c>
      <c r="H23" s="58">
        <v>5.0</v>
      </c>
      <c r="I23" s="58">
        <v>18.0</v>
      </c>
      <c r="J23" s="64" t="s">
        <v>228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57">
        <v>12.0</v>
      </c>
      <c r="B24" s="58" t="s">
        <v>70</v>
      </c>
      <c r="C24" s="57">
        <f t="shared" si="2"/>
        <v>21</v>
      </c>
      <c r="D24" s="62" t="s">
        <v>229</v>
      </c>
      <c r="E24" s="63" t="s">
        <v>230</v>
      </c>
      <c r="F24" s="57"/>
      <c r="G24" s="57">
        <v>2.0</v>
      </c>
      <c r="H24" s="57">
        <v>8.0</v>
      </c>
      <c r="I24" s="58">
        <v>3.0</v>
      </c>
      <c r="J24" s="64" t="s">
        <v>181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57">
        <v>12.0</v>
      </c>
      <c r="B25" s="58" t="s">
        <v>70</v>
      </c>
      <c r="C25" s="57">
        <f t="shared" si="2"/>
        <v>22</v>
      </c>
      <c r="D25" s="62" t="s">
        <v>231</v>
      </c>
      <c r="E25" s="65" t="s">
        <v>232</v>
      </c>
      <c r="F25" s="57"/>
      <c r="G25" s="57">
        <v>2.0</v>
      </c>
      <c r="H25" s="58">
        <v>6.0</v>
      </c>
      <c r="I25" s="58">
        <v>23.0</v>
      </c>
      <c r="J25" s="64" t="s">
        <v>181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57">
        <v>12.0</v>
      </c>
      <c r="B26" s="58" t="s">
        <v>70</v>
      </c>
      <c r="C26" s="57">
        <f t="shared" si="2"/>
        <v>23</v>
      </c>
      <c r="D26" s="62" t="s">
        <v>233</v>
      </c>
      <c r="E26" s="63" t="s">
        <v>234</v>
      </c>
      <c r="F26" s="58">
        <v>21.0</v>
      </c>
      <c r="G26" s="57">
        <v>2.0</v>
      </c>
      <c r="H26" s="58">
        <v>4.0</v>
      </c>
      <c r="I26" s="58">
        <v>13.0</v>
      </c>
      <c r="J26" s="64" t="s">
        <v>228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57"/>
      <c r="B27" s="58" t="s">
        <v>70</v>
      </c>
      <c r="C27" s="57">
        <f t="shared" si="2"/>
        <v>24</v>
      </c>
      <c r="D27" s="62" t="s">
        <v>194</v>
      </c>
      <c r="E27" s="65"/>
      <c r="F27" s="58">
        <v>23.0</v>
      </c>
      <c r="G27" s="57"/>
      <c r="H27" s="58"/>
      <c r="I27" s="58">
        <v>13.0</v>
      </c>
      <c r="J27" s="64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57">
        <v>12.0</v>
      </c>
      <c r="B28" s="58" t="s">
        <v>70</v>
      </c>
      <c r="C28" s="57">
        <f t="shared" si="2"/>
        <v>25</v>
      </c>
      <c r="D28" s="59" t="s">
        <v>235</v>
      </c>
      <c r="E28" s="65" t="s">
        <v>235</v>
      </c>
      <c r="F28" s="57"/>
      <c r="G28" s="57">
        <v>2.0</v>
      </c>
      <c r="H28" s="58">
        <v>6.0</v>
      </c>
      <c r="I28" s="58">
        <v>18.0</v>
      </c>
      <c r="J28" s="64" t="s">
        <v>19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57">
        <v>12.0</v>
      </c>
      <c r="B29" s="58" t="s">
        <v>70</v>
      </c>
      <c r="C29" s="57">
        <f t="shared" si="2"/>
        <v>26</v>
      </c>
      <c r="D29" s="59" t="s">
        <v>236</v>
      </c>
      <c r="E29" s="65" t="s">
        <v>236</v>
      </c>
      <c r="F29" s="58">
        <v>25.0</v>
      </c>
      <c r="G29" s="57">
        <v>0.0</v>
      </c>
      <c r="H29" s="57">
        <v>0.0</v>
      </c>
      <c r="I29" s="5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57">
        <v>12.0</v>
      </c>
      <c r="B30" s="58" t="s">
        <v>70</v>
      </c>
      <c r="C30" s="57">
        <f t="shared" si="2"/>
        <v>27</v>
      </c>
      <c r="D30" s="59" t="s">
        <v>237</v>
      </c>
      <c r="E30" s="65" t="s">
        <v>237</v>
      </c>
      <c r="F30" s="58">
        <v>26.0</v>
      </c>
      <c r="G30" s="57">
        <v>2.0</v>
      </c>
      <c r="H30" s="58">
        <v>6.0</v>
      </c>
      <c r="I30" s="58">
        <v>18.0</v>
      </c>
      <c r="J30" s="64" t="s">
        <v>19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57">
        <v>12.0</v>
      </c>
      <c r="B31" s="58" t="s">
        <v>70</v>
      </c>
      <c r="C31" s="57">
        <f t="shared" si="2"/>
        <v>28</v>
      </c>
      <c r="D31" s="59" t="s">
        <v>238</v>
      </c>
      <c r="E31" s="65" t="s">
        <v>238</v>
      </c>
      <c r="F31" s="58">
        <v>27.0</v>
      </c>
      <c r="G31" s="57">
        <v>0.0</v>
      </c>
      <c r="H31" s="57">
        <v>0.0</v>
      </c>
      <c r="I31" s="5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57">
        <v>13.0</v>
      </c>
      <c r="B32" s="58" t="s">
        <v>70</v>
      </c>
      <c r="C32" s="57">
        <f t="shared" si="2"/>
        <v>29</v>
      </c>
      <c r="D32" s="62" t="s">
        <v>239</v>
      </c>
      <c r="E32" s="65" t="s">
        <v>240</v>
      </c>
      <c r="F32" s="57"/>
      <c r="G32" s="57">
        <v>2.0</v>
      </c>
      <c r="H32" s="58">
        <v>6.0</v>
      </c>
      <c r="I32" s="58" t="s">
        <v>241</v>
      </c>
      <c r="J32" s="64" t="s">
        <v>181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57">
        <v>13.0</v>
      </c>
      <c r="B33" s="58" t="s">
        <v>70</v>
      </c>
      <c r="C33" s="57">
        <f t="shared" si="2"/>
        <v>30</v>
      </c>
      <c r="D33" s="62" t="s">
        <v>242</v>
      </c>
      <c r="E33" s="63" t="s">
        <v>243</v>
      </c>
      <c r="F33" s="57"/>
      <c r="G33" s="57">
        <v>2.0</v>
      </c>
      <c r="H33" s="57">
        <v>6.0</v>
      </c>
      <c r="I33" s="58">
        <v>18.0</v>
      </c>
      <c r="J33" s="64" t="s">
        <v>19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57">
        <v>13.0</v>
      </c>
      <c r="B34" s="58" t="s">
        <v>71</v>
      </c>
      <c r="C34" s="57">
        <f t="shared" si="2"/>
        <v>31</v>
      </c>
      <c r="D34" s="62" t="s">
        <v>23</v>
      </c>
      <c r="E34" s="63" t="s">
        <v>244</v>
      </c>
      <c r="F34" s="58">
        <v>30.0</v>
      </c>
      <c r="G34" s="57">
        <v>2.0</v>
      </c>
      <c r="H34" s="58">
        <v>4.0</v>
      </c>
      <c r="I34" s="58">
        <v>18.0</v>
      </c>
      <c r="J34" s="64" t="s">
        <v>22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57">
        <v>13.0</v>
      </c>
      <c r="B35" s="58" t="s">
        <v>71</v>
      </c>
      <c r="C35" s="57">
        <f t="shared" si="2"/>
        <v>32</v>
      </c>
      <c r="D35" s="62" t="s">
        <v>245</v>
      </c>
      <c r="E35" s="63" t="s">
        <v>246</v>
      </c>
      <c r="F35" s="58">
        <v>31.0</v>
      </c>
      <c r="G35" s="57">
        <v>2.0</v>
      </c>
      <c r="H35" s="57">
        <v>2.0</v>
      </c>
      <c r="I35" s="6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>
      <c r="A36" s="57">
        <v>13.0</v>
      </c>
      <c r="B36" s="58" t="s">
        <v>71</v>
      </c>
      <c r="C36" s="57">
        <f t="shared" si="2"/>
        <v>33</v>
      </c>
      <c r="D36" s="62" t="s">
        <v>247</v>
      </c>
      <c r="E36" s="65" t="s">
        <v>248</v>
      </c>
      <c r="F36" s="58">
        <v>32.0</v>
      </c>
      <c r="G36" s="57">
        <v>1.0</v>
      </c>
      <c r="H36" s="58">
        <v>1.0</v>
      </c>
      <c r="I36" s="58">
        <v>18.0</v>
      </c>
      <c r="J36" s="64" t="s">
        <v>28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57">
        <v>13.0</v>
      </c>
      <c r="B37" s="58" t="s">
        <v>71</v>
      </c>
      <c r="C37" s="57">
        <f t="shared" si="2"/>
        <v>34</v>
      </c>
      <c r="D37" s="62" t="s">
        <v>249</v>
      </c>
      <c r="E37" s="65" t="s">
        <v>250</v>
      </c>
      <c r="F37" s="58">
        <v>33.0</v>
      </c>
      <c r="G37" s="57">
        <v>1.0</v>
      </c>
      <c r="H37" s="57">
        <v>1.0</v>
      </c>
      <c r="I37" s="66"/>
      <c r="J37" s="64" t="s">
        <v>28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57">
        <v>14.0</v>
      </c>
      <c r="B38" s="58" t="s">
        <v>71</v>
      </c>
      <c r="C38" s="57">
        <f t="shared" si="2"/>
        <v>35</v>
      </c>
      <c r="D38" s="62" t="s">
        <v>251</v>
      </c>
      <c r="E38" s="63" t="s">
        <v>252</v>
      </c>
      <c r="F38" s="57"/>
      <c r="G38" s="57">
        <v>2.0</v>
      </c>
      <c r="H38" s="57">
        <v>6.0</v>
      </c>
      <c r="I38" s="58">
        <v>6.0</v>
      </c>
      <c r="J38" s="64" t="s">
        <v>25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57">
        <v>14.0</v>
      </c>
      <c r="B39" s="58" t="s">
        <v>71</v>
      </c>
      <c r="C39" s="57">
        <f t="shared" si="2"/>
        <v>36</v>
      </c>
      <c r="D39" s="62" t="s">
        <v>253</v>
      </c>
      <c r="E39" s="65" t="s">
        <v>254</v>
      </c>
      <c r="F39" s="57"/>
      <c r="G39" s="57">
        <v>2.0</v>
      </c>
      <c r="H39" s="57">
        <v>6.0</v>
      </c>
      <c r="I39" s="58">
        <v>4.0</v>
      </c>
      <c r="J39" s="64" t="s">
        <v>25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57">
        <v>14.0</v>
      </c>
      <c r="B40" s="58" t="s">
        <v>72</v>
      </c>
      <c r="C40" s="57">
        <f t="shared" si="2"/>
        <v>37</v>
      </c>
      <c r="D40" s="62" t="s">
        <v>255</v>
      </c>
      <c r="E40" s="63" t="s">
        <v>256</v>
      </c>
      <c r="F40" s="57"/>
      <c r="G40" s="57">
        <v>1.0</v>
      </c>
      <c r="H40" s="57">
        <v>3.0</v>
      </c>
      <c r="I40" s="58">
        <v>9.0</v>
      </c>
      <c r="J40" s="64" t="s">
        <v>31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58">
        <v>14.0</v>
      </c>
      <c r="B41" s="58" t="s">
        <v>72</v>
      </c>
      <c r="C41" s="57">
        <f t="shared" si="2"/>
        <v>38</v>
      </c>
      <c r="D41" s="62" t="s">
        <v>257</v>
      </c>
      <c r="E41" s="63" t="s">
        <v>258</v>
      </c>
      <c r="F41" s="58">
        <v>38.0</v>
      </c>
      <c r="G41" s="58">
        <v>1.0</v>
      </c>
      <c r="H41" s="58">
        <v>1.0</v>
      </c>
      <c r="I41" s="58">
        <v>9.0</v>
      </c>
      <c r="J41" s="64" t="s">
        <v>31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57">
        <v>15.0</v>
      </c>
      <c r="B42" s="58" t="s">
        <v>71</v>
      </c>
      <c r="C42" s="57">
        <f t="shared" si="2"/>
        <v>39</v>
      </c>
      <c r="D42" s="62" t="s">
        <v>259</v>
      </c>
      <c r="E42" s="63" t="s">
        <v>260</v>
      </c>
      <c r="F42" s="57"/>
      <c r="G42" s="57">
        <v>2.0</v>
      </c>
      <c r="H42" s="57">
        <v>6.0</v>
      </c>
      <c r="I42" s="58">
        <v>27.0</v>
      </c>
      <c r="J42" s="64" t="s">
        <v>261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58">
        <v>15.0</v>
      </c>
      <c r="B43" s="58" t="s">
        <v>71</v>
      </c>
      <c r="C43" s="57">
        <f t="shared" si="2"/>
        <v>40</v>
      </c>
      <c r="D43" s="62" t="s">
        <v>262</v>
      </c>
      <c r="E43" s="67" t="s">
        <v>263</v>
      </c>
      <c r="F43" s="58">
        <v>39.0</v>
      </c>
      <c r="G43" s="58">
        <v>2.0</v>
      </c>
      <c r="H43" s="58">
        <v>6.0</v>
      </c>
      <c r="I43" s="58"/>
      <c r="J43" s="64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58">
        <v>15.0</v>
      </c>
      <c r="B44" s="58" t="s">
        <v>71</v>
      </c>
      <c r="C44" s="57">
        <f t="shared" si="2"/>
        <v>41</v>
      </c>
      <c r="D44" s="62" t="s">
        <v>264</v>
      </c>
      <c r="E44" s="67" t="s">
        <v>265</v>
      </c>
      <c r="F44" s="57"/>
      <c r="G44" s="58">
        <v>1.0</v>
      </c>
      <c r="H44" s="58">
        <v>3.0</v>
      </c>
      <c r="I44" s="58">
        <v>7.0</v>
      </c>
      <c r="J44" s="64" t="s">
        <v>261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57">
        <v>16.0</v>
      </c>
      <c r="B45" s="58" t="s">
        <v>71</v>
      </c>
      <c r="C45" s="57">
        <f t="shared" si="2"/>
        <v>42</v>
      </c>
      <c r="D45" s="62" t="s">
        <v>266</v>
      </c>
      <c r="E45" s="63" t="s">
        <v>267</v>
      </c>
      <c r="F45" s="57"/>
      <c r="G45" s="57">
        <v>2.0</v>
      </c>
      <c r="H45" s="57">
        <v>6.0</v>
      </c>
      <c r="I45" s="58">
        <v>5.0</v>
      </c>
      <c r="J45" s="64" t="s">
        <v>261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57">
        <v>16.0</v>
      </c>
      <c r="B46" s="58" t="s">
        <v>71</v>
      </c>
      <c r="C46" s="57">
        <f t="shared" si="2"/>
        <v>43</v>
      </c>
      <c r="D46" s="62" t="s">
        <v>268</v>
      </c>
      <c r="E46" s="63" t="s">
        <v>269</v>
      </c>
      <c r="F46" s="57"/>
      <c r="G46" s="57">
        <v>2.0</v>
      </c>
      <c r="H46" s="57">
        <v>6.0</v>
      </c>
      <c r="I46" s="58" t="s">
        <v>270</v>
      </c>
      <c r="J46" s="64" t="s">
        <v>261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57">
        <v>16.0</v>
      </c>
      <c r="B47" s="58" t="s">
        <v>71</v>
      </c>
      <c r="C47" s="57">
        <f t="shared" si="2"/>
        <v>44</v>
      </c>
      <c r="D47" s="62" t="s">
        <v>271</v>
      </c>
      <c r="E47" s="63" t="s">
        <v>272</v>
      </c>
      <c r="F47" s="58" t="s">
        <v>273</v>
      </c>
      <c r="G47" s="57">
        <v>1.0</v>
      </c>
      <c r="H47" s="57">
        <v>4.0</v>
      </c>
      <c r="I47" s="58">
        <v>18.0</v>
      </c>
      <c r="J47" s="64" t="s">
        <v>274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57">
        <v>16.0</v>
      </c>
      <c r="B48" s="58" t="s">
        <v>71</v>
      </c>
      <c r="C48" s="57">
        <f t="shared" si="2"/>
        <v>45</v>
      </c>
      <c r="D48" s="62" t="s">
        <v>275</v>
      </c>
      <c r="E48" s="63" t="s">
        <v>276</v>
      </c>
      <c r="F48" s="57"/>
      <c r="G48" s="57">
        <v>1.0</v>
      </c>
      <c r="H48" s="58">
        <v>4.0</v>
      </c>
      <c r="I48" s="58">
        <v>27.0</v>
      </c>
      <c r="J48" s="64" t="s">
        <v>274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57">
        <v>17.0</v>
      </c>
      <c r="B49" s="58" t="s">
        <v>71</v>
      </c>
      <c r="C49" s="57">
        <f t="shared" si="2"/>
        <v>46</v>
      </c>
      <c r="D49" s="62" t="s">
        <v>277</v>
      </c>
      <c r="E49" s="65" t="s">
        <v>278</v>
      </c>
      <c r="F49" s="57"/>
      <c r="G49" s="58">
        <v>1.0</v>
      </c>
      <c r="H49" s="58">
        <v>1.0</v>
      </c>
      <c r="I49" s="58">
        <v>27.0</v>
      </c>
      <c r="J49" s="64" t="s">
        <v>279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57">
        <v>17.0</v>
      </c>
      <c r="B50" s="58" t="s">
        <v>71</v>
      </c>
      <c r="C50" s="57">
        <f t="shared" si="2"/>
        <v>47</v>
      </c>
      <c r="D50" s="62" t="s">
        <v>280</v>
      </c>
      <c r="E50" s="63" t="s">
        <v>281</v>
      </c>
      <c r="F50" s="57"/>
      <c r="G50" s="57">
        <v>1.0</v>
      </c>
      <c r="H50" s="58">
        <v>1.0</v>
      </c>
      <c r="I50" s="58" t="s">
        <v>282</v>
      </c>
      <c r="J50" s="64" t="s">
        <v>279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58">
        <v>18.0</v>
      </c>
      <c r="B51" s="58" t="s">
        <v>71</v>
      </c>
      <c r="C51" s="57">
        <f t="shared" si="2"/>
        <v>48</v>
      </c>
      <c r="D51" s="62" t="s">
        <v>283</v>
      </c>
      <c r="E51" s="63" t="s">
        <v>284</v>
      </c>
      <c r="F51" s="57"/>
      <c r="G51" s="58">
        <v>1.0</v>
      </c>
      <c r="H51" s="58">
        <v>3.0</v>
      </c>
      <c r="I51" s="58">
        <v>5.0</v>
      </c>
      <c r="J51" s="64" t="s">
        <v>285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57">
        <v>18.0</v>
      </c>
      <c r="B52" s="58" t="s">
        <v>71</v>
      </c>
      <c r="C52" s="57">
        <f t="shared" si="2"/>
        <v>49</v>
      </c>
      <c r="D52" s="62" t="s">
        <v>286</v>
      </c>
      <c r="E52" s="63" t="s">
        <v>287</v>
      </c>
      <c r="F52" s="57"/>
      <c r="G52" s="57">
        <v>1.0</v>
      </c>
      <c r="H52" s="58">
        <v>4.0</v>
      </c>
      <c r="I52" s="58">
        <v>25.0</v>
      </c>
      <c r="J52" s="64" t="s">
        <v>37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57">
        <v>18.0</v>
      </c>
      <c r="B53" s="58" t="s">
        <v>72</v>
      </c>
      <c r="C53" s="57">
        <f t="shared" si="2"/>
        <v>50</v>
      </c>
      <c r="D53" s="62" t="s">
        <v>288</v>
      </c>
      <c r="E53" s="63" t="s">
        <v>289</v>
      </c>
      <c r="F53" s="57"/>
      <c r="G53" s="57">
        <v>1.0</v>
      </c>
      <c r="H53" s="58">
        <v>3.0</v>
      </c>
      <c r="I53" s="58">
        <v>10.0</v>
      </c>
      <c r="J53" s="64" t="s">
        <v>34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57">
        <v>19.0</v>
      </c>
      <c r="B54" s="58" t="s">
        <v>73</v>
      </c>
      <c r="C54" s="57">
        <f t="shared" si="2"/>
        <v>51</v>
      </c>
      <c r="D54" s="62" t="s">
        <v>290</v>
      </c>
      <c r="E54" s="63" t="s">
        <v>291</v>
      </c>
      <c r="F54" s="57"/>
      <c r="G54" s="58">
        <v>2.0</v>
      </c>
      <c r="H54" s="58">
        <v>4.0</v>
      </c>
      <c r="I54" s="58">
        <v>1.0</v>
      </c>
      <c r="J54" s="64" t="s">
        <v>49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58">
        <v>19.0</v>
      </c>
      <c r="B55" s="58" t="s">
        <v>71</v>
      </c>
      <c r="C55" s="57">
        <f t="shared" si="2"/>
        <v>52</v>
      </c>
      <c r="D55" s="62" t="s">
        <v>292</v>
      </c>
      <c r="E55" s="63" t="s">
        <v>293</v>
      </c>
      <c r="F55" s="57"/>
      <c r="G55" s="58">
        <v>2.0</v>
      </c>
      <c r="H55" s="58">
        <v>2.0</v>
      </c>
      <c r="I55" s="58">
        <v>8.0</v>
      </c>
      <c r="J55" s="64" t="s">
        <v>40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57">
        <v>19.0</v>
      </c>
      <c r="B56" s="58" t="s">
        <v>73</v>
      </c>
      <c r="C56" s="57">
        <f t="shared" si="2"/>
        <v>53</v>
      </c>
      <c r="D56" s="62" t="s">
        <v>294</v>
      </c>
      <c r="E56" s="63" t="s">
        <v>295</v>
      </c>
      <c r="F56" s="57"/>
      <c r="G56" s="57">
        <v>1.0</v>
      </c>
      <c r="H56" s="58">
        <v>4.0</v>
      </c>
      <c r="I56" s="58">
        <v>4.0</v>
      </c>
      <c r="J56" s="64" t="s">
        <v>49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57">
        <v>19.0</v>
      </c>
      <c r="B57" s="58" t="s">
        <v>73</v>
      </c>
      <c r="C57" s="57">
        <f t="shared" si="2"/>
        <v>54</v>
      </c>
      <c r="D57" s="62" t="s">
        <v>296</v>
      </c>
      <c r="E57" s="63" t="s">
        <v>297</v>
      </c>
      <c r="F57" s="57"/>
      <c r="G57" s="57">
        <v>1.0</v>
      </c>
      <c r="H57" s="58">
        <v>4.0</v>
      </c>
      <c r="I57" s="58">
        <v>3.0</v>
      </c>
      <c r="J57" s="64" t="s">
        <v>49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57">
        <v>20.0</v>
      </c>
      <c r="B58" s="58" t="s">
        <v>72</v>
      </c>
      <c r="C58" s="57">
        <f t="shared" si="2"/>
        <v>55</v>
      </c>
      <c r="D58" s="62" t="s">
        <v>298</v>
      </c>
      <c r="E58" s="63" t="s">
        <v>299</v>
      </c>
      <c r="F58" s="57"/>
      <c r="G58" s="57">
        <v>1.0</v>
      </c>
      <c r="H58" s="58">
        <v>4.0</v>
      </c>
      <c r="I58" s="58">
        <v>10.0</v>
      </c>
      <c r="J58" s="64" t="s">
        <v>10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57">
        <v>20.0</v>
      </c>
      <c r="B59" s="58" t="s">
        <v>72</v>
      </c>
      <c r="C59" s="57">
        <f t="shared" si="2"/>
        <v>56</v>
      </c>
      <c r="D59" s="62" t="s">
        <v>300</v>
      </c>
      <c r="E59" s="65" t="s">
        <v>301</v>
      </c>
      <c r="F59" s="58">
        <v>55.0</v>
      </c>
      <c r="G59" s="57">
        <v>1.0</v>
      </c>
      <c r="H59" s="58">
        <v>2.0</v>
      </c>
      <c r="I59" s="58">
        <v>10.0</v>
      </c>
      <c r="J59" s="64" t="s">
        <v>10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57">
        <v>20.0</v>
      </c>
      <c r="B60" s="58" t="s">
        <v>73</v>
      </c>
      <c r="C60" s="57">
        <f t="shared" si="2"/>
        <v>57</v>
      </c>
      <c r="D60" s="62" t="s">
        <v>302</v>
      </c>
      <c r="E60" s="63" t="s">
        <v>303</v>
      </c>
      <c r="F60" s="57"/>
      <c r="G60" s="57">
        <v>1.0</v>
      </c>
      <c r="H60" s="58">
        <v>4.0</v>
      </c>
      <c r="I60" s="58">
        <v>1.0</v>
      </c>
      <c r="J60" s="64" t="s">
        <v>49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57">
        <v>20.0</v>
      </c>
      <c r="B61" s="58" t="s">
        <v>73</v>
      </c>
      <c r="C61" s="57">
        <f t="shared" si="2"/>
        <v>58</v>
      </c>
      <c r="D61" s="62" t="s">
        <v>304</v>
      </c>
      <c r="E61" s="65" t="s">
        <v>304</v>
      </c>
      <c r="F61" s="57"/>
      <c r="G61" s="57">
        <v>1.0</v>
      </c>
      <c r="H61" s="58">
        <v>4.0</v>
      </c>
      <c r="I61" s="58">
        <v>1.0</v>
      </c>
      <c r="J61" s="64" t="s">
        <v>49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57">
        <v>21.0</v>
      </c>
      <c r="B62" s="58" t="s">
        <v>73</v>
      </c>
      <c r="C62" s="57">
        <f t="shared" si="2"/>
        <v>59</v>
      </c>
      <c r="D62" s="62" t="s">
        <v>305</v>
      </c>
      <c r="E62" s="65" t="s">
        <v>306</v>
      </c>
      <c r="F62" s="57"/>
      <c r="G62" s="57">
        <v>2.0</v>
      </c>
      <c r="H62" s="57">
        <v>3.0</v>
      </c>
      <c r="I62" s="58">
        <v>3.0</v>
      </c>
      <c r="J62" s="64" t="s">
        <v>49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68" t="s">
        <v>307</v>
      </c>
      <c r="B63" s="58" t="s">
        <v>67</v>
      </c>
      <c r="C63" s="57">
        <f t="shared" si="2"/>
        <v>60</v>
      </c>
      <c r="D63" s="68" t="s">
        <v>308</v>
      </c>
      <c r="E63" s="69" t="s">
        <v>309</v>
      </c>
      <c r="F63" s="12"/>
      <c r="G63" s="70">
        <v>2.0</v>
      </c>
      <c r="H63" s="22">
        <v>2.0</v>
      </c>
      <c r="I63" s="3">
        <v>1.0</v>
      </c>
      <c r="J63" s="68" t="s">
        <v>310</v>
      </c>
    </row>
    <row r="64">
      <c r="A64" s="68" t="s">
        <v>307</v>
      </c>
      <c r="B64" s="58" t="s">
        <v>67</v>
      </c>
      <c r="C64" s="57">
        <f t="shared" si="2"/>
        <v>61</v>
      </c>
      <c r="D64" s="68" t="s">
        <v>311</v>
      </c>
      <c r="E64" s="69" t="s">
        <v>312</v>
      </c>
      <c r="F64" s="12"/>
      <c r="G64" s="22">
        <v>1.0</v>
      </c>
      <c r="H64" s="22">
        <v>1.0</v>
      </c>
      <c r="I64" s="3">
        <v>18.0</v>
      </c>
      <c r="J64" s="68" t="s">
        <v>310</v>
      </c>
    </row>
    <row r="65">
      <c r="A65" s="68" t="s">
        <v>307</v>
      </c>
      <c r="B65" s="58" t="s">
        <v>67</v>
      </c>
      <c r="C65" s="57">
        <f t="shared" si="2"/>
        <v>62</v>
      </c>
      <c r="D65" s="68" t="s">
        <v>313</v>
      </c>
      <c r="E65" s="69" t="s">
        <v>314</v>
      </c>
      <c r="F65" s="12"/>
      <c r="G65" s="22">
        <v>1.0</v>
      </c>
      <c r="H65" s="22">
        <v>1.0</v>
      </c>
      <c r="I65" s="3">
        <v>18.0</v>
      </c>
      <c r="J65" s="68" t="s">
        <v>310</v>
      </c>
    </row>
    <row r="66">
      <c r="A66" s="68" t="s">
        <v>307</v>
      </c>
      <c r="B66" s="58" t="s">
        <v>67</v>
      </c>
      <c r="C66" s="57">
        <f t="shared" si="2"/>
        <v>63</v>
      </c>
      <c r="D66" s="68" t="s">
        <v>315</v>
      </c>
      <c r="E66" s="69" t="s">
        <v>316</v>
      </c>
      <c r="F66" s="12"/>
      <c r="G66" s="22">
        <v>1.0</v>
      </c>
      <c r="H66" s="22">
        <v>1.0</v>
      </c>
      <c r="I66" s="3">
        <v>3.0</v>
      </c>
      <c r="J66" s="68" t="s">
        <v>310</v>
      </c>
    </row>
    <row r="67">
      <c r="A67" s="68" t="s">
        <v>307</v>
      </c>
      <c r="B67" s="58" t="s">
        <v>67</v>
      </c>
      <c r="C67" s="57">
        <f t="shared" si="2"/>
        <v>64</v>
      </c>
      <c r="D67" s="68" t="s">
        <v>317</v>
      </c>
      <c r="E67" s="69" t="s">
        <v>318</v>
      </c>
      <c r="F67" s="12"/>
      <c r="G67" s="22">
        <v>2.0</v>
      </c>
      <c r="H67" s="22">
        <v>2.0</v>
      </c>
      <c r="I67" s="3">
        <v>3.0</v>
      </c>
      <c r="J67" s="68" t="s">
        <v>310</v>
      </c>
    </row>
    <row r="68">
      <c r="A68" s="68" t="s">
        <v>307</v>
      </c>
      <c r="B68" s="58" t="s">
        <v>67</v>
      </c>
      <c r="C68" s="57">
        <f t="shared" si="2"/>
        <v>65</v>
      </c>
      <c r="D68" s="68" t="s">
        <v>319</v>
      </c>
      <c r="E68" s="69" t="s">
        <v>320</v>
      </c>
      <c r="F68" s="12"/>
      <c r="G68" s="22">
        <v>2.0</v>
      </c>
      <c r="H68" s="22">
        <v>2.0</v>
      </c>
      <c r="I68" s="3">
        <v>18.0</v>
      </c>
      <c r="J68" s="68" t="s">
        <v>310</v>
      </c>
    </row>
    <row r="69">
      <c r="A69" s="68" t="s">
        <v>307</v>
      </c>
      <c r="B69" s="58" t="s">
        <v>67</v>
      </c>
      <c r="C69" s="57">
        <f t="shared" si="2"/>
        <v>66</v>
      </c>
      <c r="D69" s="68" t="s">
        <v>321</v>
      </c>
      <c r="E69" s="69" t="s">
        <v>322</v>
      </c>
      <c r="F69" s="12"/>
      <c r="G69" s="22">
        <v>1.0</v>
      </c>
      <c r="H69" s="22">
        <v>1.0</v>
      </c>
      <c r="I69" s="3" t="s">
        <v>241</v>
      </c>
      <c r="J69" s="68" t="s">
        <v>323</v>
      </c>
    </row>
    <row r="70">
      <c r="A70" s="68" t="s">
        <v>307</v>
      </c>
      <c r="B70" s="58" t="s">
        <v>67</v>
      </c>
      <c r="C70" s="57">
        <f t="shared" si="2"/>
        <v>67</v>
      </c>
      <c r="D70" s="68" t="s">
        <v>324</v>
      </c>
      <c r="E70" s="69" t="s">
        <v>325</v>
      </c>
      <c r="F70" s="12"/>
      <c r="G70" s="22">
        <v>1.0</v>
      </c>
      <c r="H70" s="22">
        <v>1.0</v>
      </c>
      <c r="I70" s="3" t="s">
        <v>326</v>
      </c>
      <c r="J70" s="68" t="s">
        <v>323</v>
      </c>
    </row>
    <row r="71">
      <c r="A71" s="68" t="s">
        <v>307</v>
      </c>
      <c r="B71" s="58" t="s">
        <v>67</v>
      </c>
      <c r="C71" s="57">
        <f t="shared" si="2"/>
        <v>68</v>
      </c>
      <c r="D71" s="68" t="s">
        <v>327</v>
      </c>
      <c r="E71" s="69" t="s">
        <v>328</v>
      </c>
      <c r="F71" s="12"/>
      <c r="G71" s="22">
        <v>2.0</v>
      </c>
      <c r="H71" s="22">
        <v>2.0</v>
      </c>
      <c r="I71" s="3">
        <v>6.0</v>
      </c>
      <c r="J71" s="68" t="s">
        <v>329</v>
      </c>
    </row>
    <row r="72">
      <c r="A72" s="68" t="s">
        <v>307</v>
      </c>
      <c r="B72" s="58" t="s">
        <v>67</v>
      </c>
      <c r="C72" s="57">
        <f t="shared" si="2"/>
        <v>69</v>
      </c>
      <c r="D72" s="68" t="s">
        <v>330</v>
      </c>
      <c r="E72" s="69" t="s">
        <v>331</v>
      </c>
      <c r="F72" s="12"/>
      <c r="G72" s="22"/>
      <c r="H72" s="22"/>
      <c r="I72" s="3">
        <v>5.0</v>
      </c>
      <c r="J72" s="68" t="s">
        <v>329</v>
      </c>
    </row>
    <row r="73">
      <c r="A73" s="68" t="s">
        <v>307</v>
      </c>
      <c r="B73" s="58" t="s">
        <v>67</v>
      </c>
      <c r="C73" s="57">
        <f t="shared" si="2"/>
        <v>70</v>
      </c>
      <c r="D73" s="68" t="s">
        <v>332</v>
      </c>
      <c r="E73" s="69" t="s">
        <v>333</v>
      </c>
      <c r="F73" s="12"/>
      <c r="G73" s="22">
        <v>2.0</v>
      </c>
      <c r="H73" s="22">
        <v>2.0</v>
      </c>
      <c r="I73" s="3">
        <v>5.0</v>
      </c>
      <c r="J73" s="68" t="s">
        <v>28</v>
      </c>
    </row>
    <row r="74">
      <c r="A74" s="68" t="s">
        <v>307</v>
      </c>
      <c r="B74" s="58" t="s">
        <v>67</v>
      </c>
      <c r="C74" s="57">
        <f t="shared" si="2"/>
        <v>71</v>
      </c>
      <c r="D74" s="68" t="s">
        <v>334</v>
      </c>
      <c r="E74" s="69" t="s">
        <v>335</v>
      </c>
      <c r="F74" s="12"/>
      <c r="G74" s="22">
        <v>1.0</v>
      </c>
      <c r="H74" s="22">
        <v>1.0</v>
      </c>
      <c r="I74" s="3">
        <v>28.0</v>
      </c>
      <c r="J74" s="68" t="s">
        <v>336</v>
      </c>
    </row>
    <row r="75">
      <c r="A75" s="68" t="s">
        <v>307</v>
      </c>
      <c r="B75" s="58" t="s">
        <v>67</v>
      </c>
      <c r="C75" s="57">
        <f t="shared" si="2"/>
        <v>72</v>
      </c>
      <c r="D75" s="68" t="s">
        <v>337</v>
      </c>
      <c r="E75" s="69" t="s">
        <v>338</v>
      </c>
      <c r="F75" s="12"/>
      <c r="G75" s="22">
        <v>1.0</v>
      </c>
      <c r="H75" s="22">
        <v>1.0</v>
      </c>
      <c r="I75" s="3">
        <v>1.0</v>
      </c>
      <c r="J75" s="68" t="s">
        <v>310</v>
      </c>
    </row>
    <row r="76">
      <c r="A76" s="68" t="s">
        <v>307</v>
      </c>
      <c r="B76" s="58" t="s">
        <v>67</v>
      </c>
      <c r="C76" s="57">
        <f t="shared" si="2"/>
        <v>73</v>
      </c>
      <c r="D76" s="68" t="s">
        <v>339</v>
      </c>
      <c r="E76" s="69" t="s">
        <v>340</v>
      </c>
      <c r="F76" s="12"/>
      <c r="G76" s="22">
        <v>1.0</v>
      </c>
      <c r="H76" s="22">
        <v>1.0</v>
      </c>
      <c r="I76" s="3">
        <v>6.0</v>
      </c>
      <c r="J76" s="68" t="s">
        <v>310</v>
      </c>
    </row>
    <row r="77">
      <c r="E77" s="12"/>
      <c r="I77" s="11"/>
    </row>
    <row r="78">
      <c r="E78" s="12"/>
      <c r="I78" s="11"/>
    </row>
    <row r="79">
      <c r="E79" s="12"/>
      <c r="I79" s="11"/>
    </row>
    <row r="80">
      <c r="E80" s="12"/>
      <c r="I80" s="11"/>
    </row>
    <row r="81">
      <c r="E81" s="12"/>
      <c r="I81" s="11"/>
    </row>
    <row r="82">
      <c r="E82" s="12"/>
      <c r="I82" s="11"/>
    </row>
    <row r="83">
      <c r="E83" s="12"/>
      <c r="I83" s="11"/>
    </row>
    <row r="84">
      <c r="E84" s="12"/>
      <c r="I84" s="11"/>
    </row>
    <row r="85">
      <c r="E85" s="12"/>
      <c r="I85" s="11"/>
    </row>
    <row r="86">
      <c r="E86" s="12"/>
      <c r="I86" s="11"/>
    </row>
    <row r="87">
      <c r="E87" s="12"/>
      <c r="I87" s="11"/>
    </row>
    <row r="88">
      <c r="E88" s="12"/>
      <c r="I88" s="11"/>
    </row>
    <row r="89">
      <c r="E89" s="12"/>
      <c r="I89" s="11"/>
    </row>
    <row r="90">
      <c r="E90" s="12"/>
      <c r="I90" s="11"/>
    </row>
    <row r="91">
      <c r="E91" s="12"/>
      <c r="I91" s="11"/>
    </row>
    <row r="92">
      <c r="E92" s="12"/>
      <c r="I92" s="11"/>
    </row>
    <row r="93">
      <c r="E93" s="12"/>
      <c r="I93" s="11"/>
    </row>
    <row r="94">
      <c r="E94" s="12"/>
      <c r="I94" s="11"/>
    </row>
    <row r="95">
      <c r="E95" s="12"/>
      <c r="I95" s="11"/>
    </row>
    <row r="96">
      <c r="E96" s="12"/>
      <c r="I96" s="11"/>
    </row>
    <row r="97">
      <c r="E97" s="12"/>
      <c r="I97" s="11"/>
    </row>
    <row r="98">
      <c r="E98" s="12"/>
      <c r="I98" s="11"/>
    </row>
    <row r="99">
      <c r="E99" s="12"/>
      <c r="I99" s="11"/>
    </row>
    <row r="100">
      <c r="E100" s="12"/>
      <c r="I100" s="11"/>
    </row>
    <row r="101">
      <c r="E101" s="12"/>
      <c r="I101" s="11"/>
    </row>
    <row r="102">
      <c r="E102" s="12"/>
      <c r="I102" s="11"/>
    </row>
    <row r="103">
      <c r="E103" s="12"/>
      <c r="I103" s="11"/>
    </row>
    <row r="104">
      <c r="E104" s="12"/>
      <c r="I104" s="11"/>
    </row>
    <row r="105">
      <c r="E105" s="12"/>
      <c r="I105" s="11"/>
    </row>
    <row r="106">
      <c r="E106" s="12"/>
      <c r="I106" s="11"/>
    </row>
    <row r="107">
      <c r="E107" s="12"/>
      <c r="I107" s="11"/>
    </row>
    <row r="108">
      <c r="E108" s="12"/>
      <c r="I108" s="11"/>
    </row>
    <row r="109">
      <c r="E109" s="12"/>
      <c r="I109" s="11"/>
    </row>
    <row r="110">
      <c r="E110" s="12"/>
      <c r="I110" s="11"/>
    </row>
    <row r="111">
      <c r="E111" s="12"/>
      <c r="I111" s="11"/>
    </row>
    <row r="112">
      <c r="E112" s="12"/>
      <c r="I112" s="11"/>
    </row>
    <row r="113">
      <c r="E113" s="12"/>
      <c r="I113" s="11"/>
    </row>
    <row r="114">
      <c r="E114" s="12"/>
      <c r="I114" s="11"/>
    </row>
    <row r="115">
      <c r="E115" s="12"/>
      <c r="I115" s="11"/>
    </row>
    <row r="116">
      <c r="E116" s="12"/>
      <c r="I116" s="11"/>
    </row>
    <row r="117">
      <c r="E117" s="12"/>
      <c r="I117" s="11"/>
    </row>
    <row r="118">
      <c r="E118" s="12"/>
      <c r="I118" s="11"/>
    </row>
    <row r="119">
      <c r="E119" s="12"/>
      <c r="I119" s="11"/>
    </row>
    <row r="120">
      <c r="E120" s="12"/>
      <c r="I120" s="11"/>
    </row>
    <row r="121">
      <c r="E121" s="12"/>
      <c r="I121" s="11"/>
    </row>
    <row r="122">
      <c r="E122" s="12"/>
      <c r="I122" s="11"/>
    </row>
    <row r="123">
      <c r="E123" s="12"/>
      <c r="I123" s="11"/>
    </row>
    <row r="124">
      <c r="E124" s="12"/>
      <c r="I124" s="11"/>
    </row>
    <row r="125">
      <c r="E125" s="12"/>
      <c r="I125" s="11"/>
    </row>
    <row r="126">
      <c r="E126" s="12"/>
      <c r="I126" s="11"/>
    </row>
    <row r="127">
      <c r="E127" s="12"/>
      <c r="I127" s="11"/>
    </row>
    <row r="128">
      <c r="E128" s="12"/>
      <c r="I128" s="11"/>
    </row>
    <row r="129">
      <c r="E129" s="12"/>
      <c r="I129" s="11"/>
    </row>
    <row r="130">
      <c r="E130" s="12"/>
      <c r="I130" s="11"/>
    </row>
    <row r="131">
      <c r="E131" s="12"/>
      <c r="I131" s="11"/>
    </row>
    <row r="132">
      <c r="E132" s="12"/>
      <c r="I132" s="11"/>
    </row>
    <row r="133">
      <c r="E133" s="12"/>
      <c r="I133" s="11"/>
    </row>
    <row r="134">
      <c r="E134" s="12"/>
      <c r="I134" s="11"/>
    </row>
    <row r="135">
      <c r="E135" s="12"/>
      <c r="I135" s="11"/>
    </row>
    <row r="136">
      <c r="E136" s="12"/>
      <c r="I136" s="11"/>
    </row>
    <row r="137">
      <c r="E137" s="12"/>
      <c r="I137" s="11"/>
    </row>
    <row r="138">
      <c r="E138" s="12"/>
      <c r="I138" s="11"/>
    </row>
    <row r="139">
      <c r="E139" s="12"/>
      <c r="I139" s="11"/>
    </row>
    <row r="140">
      <c r="E140" s="12"/>
      <c r="I140" s="11"/>
    </row>
    <row r="141">
      <c r="E141" s="12"/>
      <c r="I141" s="11"/>
    </row>
    <row r="142">
      <c r="E142" s="12"/>
      <c r="I142" s="11"/>
    </row>
    <row r="143">
      <c r="E143" s="12"/>
      <c r="I143" s="11"/>
    </row>
    <row r="144">
      <c r="E144" s="12"/>
      <c r="I144" s="11"/>
    </row>
    <row r="145">
      <c r="E145" s="12"/>
      <c r="I145" s="11"/>
    </row>
    <row r="146">
      <c r="E146" s="12"/>
      <c r="I146" s="11"/>
    </row>
    <row r="147">
      <c r="E147" s="12"/>
      <c r="I147" s="11"/>
    </row>
    <row r="148">
      <c r="E148" s="12"/>
      <c r="I148" s="11"/>
    </row>
    <row r="149">
      <c r="E149" s="12"/>
      <c r="I149" s="11"/>
    </row>
    <row r="150">
      <c r="E150" s="12"/>
      <c r="I150" s="11"/>
    </row>
    <row r="151">
      <c r="E151" s="12"/>
      <c r="I151" s="11"/>
    </row>
    <row r="152">
      <c r="E152" s="12"/>
      <c r="I152" s="11"/>
    </row>
    <row r="153">
      <c r="E153" s="12"/>
      <c r="I153" s="11"/>
    </row>
    <row r="154">
      <c r="E154" s="12"/>
      <c r="I154" s="11"/>
    </row>
    <row r="155">
      <c r="E155" s="12"/>
      <c r="I155" s="11"/>
    </row>
    <row r="156">
      <c r="E156" s="12"/>
      <c r="I156" s="11"/>
    </row>
    <row r="157">
      <c r="E157" s="12"/>
      <c r="I157" s="11"/>
    </row>
    <row r="158">
      <c r="E158" s="12"/>
      <c r="I158" s="11"/>
    </row>
    <row r="159">
      <c r="E159" s="12"/>
      <c r="I159" s="11"/>
    </row>
    <row r="160">
      <c r="E160" s="12"/>
      <c r="I160" s="11"/>
    </row>
    <row r="161">
      <c r="E161" s="12"/>
      <c r="I161" s="11"/>
    </row>
    <row r="162">
      <c r="E162" s="12"/>
      <c r="I162" s="11"/>
    </row>
    <row r="163">
      <c r="E163" s="12"/>
      <c r="I163" s="11"/>
    </row>
    <row r="164">
      <c r="E164" s="12"/>
      <c r="I164" s="11"/>
    </row>
    <row r="165">
      <c r="E165" s="12"/>
      <c r="I165" s="11"/>
    </row>
    <row r="166">
      <c r="E166" s="12"/>
      <c r="I166" s="11"/>
    </row>
    <row r="167">
      <c r="E167" s="12"/>
      <c r="I167" s="11"/>
    </row>
    <row r="168">
      <c r="E168" s="12"/>
      <c r="I168" s="11"/>
    </row>
    <row r="169">
      <c r="E169" s="12"/>
      <c r="I169" s="11"/>
    </row>
    <row r="170">
      <c r="E170" s="12"/>
      <c r="I170" s="11"/>
    </row>
    <row r="171">
      <c r="E171" s="12"/>
      <c r="I171" s="11"/>
    </row>
    <row r="172">
      <c r="E172" s="12"/>
      <c r="I172" s="11"/>
    </row>
    <row r="173">
      <c r="E173" s="12"/>
      <c r="I173" s="11"/>
    </row>
    <row r="174">
      <c r="E174" s="12"/>
      <c r="I174" s="11"/>
    </row>
    <row r="175">
      <c r="E175" s="12"/>
      <c r="I175" s="11"/>
    </row>
    <row r="176">
      <c r="E176" s="12"/>
      <c r="I176" s="11"/>
    </row>
    <row r="177">
      <c r="E177" s="12"/>
      <c r="I177" s="11"/>
    </row>
    <row r="178">
      <c r="E178" s="12"/>
      <c r="I178" s="11"/>
    </row>
    <row r="179">
      <c r="E179" s="12"/>
      <c r="I179" s="11"/>
    </row>
    <row r="180">
      <c r="E180" s="12"/>
      <c r="I180" s="11"/>
    </row>
    <row r="181">
      <c r="E181" s="12"/>
      <c r="I181" s="11"/>
    </row>
    <row r="182">
      <c r="E182" s="12"/>
      <c r="I182" s="11"/>
    </row>
    <row r="183">
      <c r="E183" s="12"/>
      <c r="I183" s="11"/>
    </row>
    <row r="184">
      <c r="E184" s="12"/>
      <c r="I184" s="11"/>
    </row>
    <row r="185">
      <c r="E185" s="12"/>
      <c r="I185" s="11"/>
    </row>
    <row r="186">
      <c r="E186" s="12"/>
      <c r="I186" s="11"/>
    </row>
    <row r="187">
      <c r="E187" s="12"/>
      <c r="I187" s="11"/>
    </row>
    <row r="188">
      <c r="E188" s="12"/>
      <c r="I188" s="11"/>
    </row>
    <row r="189">
      <c r="E189" s="12"/>
      <c r="I189" s="11"/>
    </row>
    <row r="190">
      <c r="E190" s="12"/>
      <c r="I190" s="11"/>
    </row>
    <row r="191">
      <c r="E191" s="12"/>
      <c r="I191" s="11"/>
    </row>
    <row r="192">
      <c r="E192" s="12"/>
      <c r="I192" s="11"/>
    </row>
    <row r="193">
      <c r="E193" s="12"/>
      <c r="I193" s="11"/>
    </row>
    <row r="194">
      <c r="E194" s="12"/>
      <c r="I194" s="11"/>
    </row>
    <row r="195">
      <c r="E195" s="12"/>
      <c r="I195" s="11"/>
    </row>
    <row r="196">
      <c r="E196" s="12"/>
      <c r="I196" s="11"/>
    </row>
    <row r="197">
      <c r="E197" s="12"/>
      <c r="I197" s="11"/>
    </row>
    <row r="198">
      <c r="E198" s="12"/>
      <c r="I198" s="11"/>
    </row>
    <row r="199">
      <c r="E199" s="12"/>
      <c r="I199" s="11"/>
    </row>
    <row r="200">
      <c r="E200" s="12"/>
      <c r="I200" s="11"/>
    </row>
    <row r="201">
      <c r="E201" s="12"/>
      <c r="I201" s="11"/>
    </row>
    <row r="202">
      <c r="E202" s="12"/>
      <c r="I202" s="11"/>
    </row>
    <row r="203">
      <c r="E203" s="12"/>
      <c r="I203" s="11"/>
    </row>
    <row r="204">
      <c r="E204" s="12"/>
      <c r="I204" s="11"/>
    </row>
    <row r="205">
      <c r="E205" s="12"/>
      <c r="I205" s="11"/>
    </row>
    <row r="206">
      <c r="E206" s="12"/>
      <c r="I206" s="11"/>
    </row>
    <row r="207">
      <c r="E207" s="12"/>
      <c r="I207" s="11"/>
    </row>
    <row r="208">
      <c r="E208" s="12"/>
      <c r="I208" s="11"/>
    </row>
    <row r="209">
      <c r="E209" s="12"/>
      <c r="I209" s="11"/>
    </row>
    <row r="210">
      <c r="E210" s="12"/>
      <c r="I210" s="11"/>
    </row>
    <row r="211">
      <c r="E211" s="12"/>
      <c r="I211" s="11"/>
    </row>
    <row r="212">
      <c r="E212" s="12"/>
      <c r="I212" s="11"/>
    </row>
    <row r="213">
      <c r="E213" s="12"/>
      <c r="I213" s="11"/>
    </row>
    <row r="214">
      <c r="E214" s="12"/>
      <c r="I214" s="11"/>
    </row>
    <row r="215">
      <c r="E215" s="12"/>
      <c r="I215" s="11"/>
    </row>
    <row r="216">
      <c r="E216" s="12"/>
      <c r="I216" s="11"/>
    </row>
    <row r="217">
      <c r="E217" s="12"/>
      <c r="I217" s="11"/>
    </row>
    <row r="218">
      <c r="E218" s="12"/>
      <c r="I218" s="11"/>
    </row>
    <row r="219">
      <c r="E219" s="12"/>
      <c r="I219" s="11"/>
    </row>
    <row r="220">
      <c r="E220" s="12"/>
      <c r="I220" s="11"/>
    </row>
    <row r="221">
      <c r="E221" s="12"/>
      <c r="I221" s="11"/>
    </row>
    <row r="222">
      <c r="E222" s="12"/>
      <c r="I222" s="11"/>
    </row>
    <row r="223">
      <c r="E223" s="12"/>
      <c r="I223" s="11"/>
    </row>
    <row r="224">
      <c r="E224" s="12"/>
      <c r="I224" s="11"/>
    </row>
    <row r="225">
      <c r="E225" s="12"/>
      <c r="I225" s="11"/>
    </row>
    <row r="226">
      <c r="E226" s="12"/>
      <c r="I226" s="11"/>
    </row>
    <row r="227">
      <c r="E227" s="12"/>
      <c r="I227" s="11"/>
    </row>
    <row r="228">
      <c r="E228" s="12"/>
      <c r="I228" s="11"/>
    </row>
    <row r="229">
      <c r="E229" s="12"/>
      <c r="I229" s="11"/>
    </row>
    <row r="230">
      <c r="E230" s="12"/>
      <c r="I230" s="11"/>
    </row>
    <row r="231">
      <c r="E231" s="12"/>
      <c r="I231" s="11"/>
    </row>
    <row r="232">
      <c r="E232" s="12"/>
      <c r="I232" s="11"/>
    </row>
    <row r="233">
      <c r="E233" s="12"/>
      <c r="I233" s="11"/>
    </row>
    <row r="234">
      <c r="E234" s="12"/>
      <c r="I234" s="11"/>
    </row>
    <row r="235">
      <c r="E235" s="12"/>
      <c r="I235" s="11"/>
    </row>
    <row r="236">
      <c r="E236" s="12"/>
      <c r="I236" s="11"/>
    </row>
    <row r="237">
      <c r="E237" s="12"/>
      <c r="I237" s="11"/>
    </row>
    <row r="238">
      <c r="E238" s="12"/>
      <c r="I238" s="11"/>
    </row>
    <row r="239">
      <c r="E239" s="12"/>
      <c r="I239" s="11"/>
    </row>
    <row r="240">
      <c r="E240" s="12"/>
      <c r="I240" s="11"/>
    </row>
    <row r="241">
      <c r="E241" s="12"/>
      <c r="I241" s="11"/>
    </row>
    <row r="242">
      <c r="E242" s="12"/>
      <c r="I242" s="11"/>
    </row>
    <row r="243">
      <c r="E243" s="12"/>
      <c r="I243" s="11"/>
    </row>
    <row r="244">
      <c r="E244" s="12"/>
      <c r="I244" s="11"/>
    </row>
    <row r="245">
      <c r="E245" s="12"/>
      <c r="I245" s="11"/>
    </row>
    <row r="246">
      <c r="E246" s="12"/>
      <c r="I246" s="11"/>
    </row>
    <row r="247">
      <c r="E247" s="12"/>
      <c r="I247" s="11"/>
    </row>
    <row r="248">
      <c r="E248" s="12"/>
      <c r="I248" s="11"/>
    </row>
    <row r="249">
      <c r="E249" s="12"/>
      <c r="I249" s="11"/>
    </row>
    <row r="250">
      <c r="E250" s="12"/>
      <c r="I250" s="11"/>
    </row>
    <row r="251">
      <c r="E251" s="12"/>
      <c r="I251" s="11"/>
    </row>
    <row r="252">
      <c r="E252" s="12"/>
      <c r="I252" s="11"/>
    </row>
    <row r="253">
      <c r="E253" s="12"/>
      <c r="I253" s="11"/>
    </row>
    <row r="254">
      <c r="E254" s="12"/>
      <c r="I254" s="11"/>
    </row>
    <row r="255">
      <c r="E255" s="12"/>
      <c r="I255" s="11"/>
    </row>
    <row r="256">
      <c r="E256" s="12"/>
      <c r="I256" s="11"/>
    </row>
    <row r="257">
      <c r="E257" s="12"/>
      <c r="I257" s="11"/>
    </row>
    <row r="258">
      <c r="E258" s="12"/>
      <c r="I258" s="11"/>
    </row>
    <row r="259">
      <c r="E259" s="12"/>
      <c r="I259" s="11"/>
    </row>
    <row r="260">
      <c r="E260" s="12"/>
      <c r="I260" s="11"/>
    </row>
    <row r="261">
      <c r="E261" s="12"/>
      <c r="I261" s="11"/>
    </row>
    <row r="262">
      <c r="E262" s="12"/>
      <c r="I262" s="11"/>
    </row>
    <row r="263">
      <c r="E263" s="12"/>
      <c r="I263" s="11"/>
    </row>
    <row r="264">
      <c r="E264" s="12"/>
      <c r="I264" s="11"/>
    </row>
    <row r="265">
      <c r="E265" s="12"/>
      <c r="I265" s="11"/>
    </row>
    <row r="266">
      <c r="E266" s="12"/>
      <c r="I266" s="11"/>
    </row>
    <row r="267">
      <c r="E267" s="12"/>
      <c r="I267" s="11"/>
    </row>
    <row r="268">
      <c r="E268" s="12"/>
      <c r="I268" s="11"/>
    </row>
    <row r="269">
      <c r="E269" s="12"/>
      <c r="I269" s="11"/>
    </row>
    <row r="270">
      <c r="E270" s="12"/>
      <c r="I270" s="11"/>
    </row>
    <row r="271">
      <c r="E271" s="12"/>
      <c r="I271" s="11"/>
    </row>
    <row r="272">
      <c r="E272" s="12"/>
      <c r="I272" s="11"/>
    </row>
    <row r="273">
      <c r="E273" s="12"/>
      <c r="I273" s="11"/>
    </row>
    <row r="274">
      <c r="E274" s="12"/>
      <c r="I274" s="11"/>
    </row>
    <row r="275">
      <c r="E275" s="12"/>
      <c r="I275" s="11"/>
    </row>
    <row r="276">
      <c r="E276" s="12"/>
      <c r="I276" s="11"/>
    </row>
    <row r="277">
      <c r="E277" s="12"/>
      <c r="I277" s="11"/>
    </row>
    <row r="278">
      <c r="E278" s="12"/>
      <c r="I278" s="11"/>
    </row>
    <row r="279">
      <c r="E279" s="12"/>
      <c r="I279" s="11"/>
    </row>
    <row r="280">
      <c r="E280" s="12"/>
      <c r="I280" s="11"/>
    </row>
    <row r="281">
      <c r="E281" s="12"/>
      <c r="I281" s="11"/>
    </row>
    <row r="282">
      <c r="E282" s="12"/>
      <c r="I282" s="11"/>
    </row>
    <row r="283">
      <c r="E283" s="12"/>
      <c r="I283" s="11"/>
    </row>
    <row r="284">
      <c r="E284" s="12"/>
      <c r="I284" s="11"/>
    </row>
    <row r="285">
      <c r="E285" s="12"/>
      <c r="I285" s="11"/>
    </row>
    <row r="286">
      <c r="E286" s="12"/>
      <c r="I286" s="11"/>
    </row>
    <row r="287">
      <c r="E287" s="12"/>
      <c r="I287" s="11"/>
    </row>
    <row r="288">
      <c r="E288" s="12"/>
      <c r="I288" s="11"/>
    </row>
    <row r="289">
      <c r="E289" s="12"/>
      <c r="I289" s="11"/>
    </row>
    <row r="290">
      <c r="E290" s="12"/>
      <c r="I290" s="11"/>
    </row>
    <row r="291">
      <c r="E291" s="12"/>
      <c r="I291" s="11"/>
    </row>
    <row r="292">
      <c r="E292" s="12"/>
      <c r="I292" s="11"/>
    </row>
    <row r="293">
      <c r="E293" s="12"/>
      <c r="I293" s="11"/>
    </row>
    <row r="294">
      <c r="E294" s="12"/>
      <c r="I294" s="11"/>
    </row>
    <row r="295">
      <c r="E295" s="12"/>
      <c r="I295" s="11"/>
    </row>
    <row r="296">
      <c r="E296" s="12"/>
      <c r="I296" s="11"/>
    </row>
    <row r="297">
      <c r="E297" s="12"/>
      <c r="I297" s="11"/>
    </row>
    <row r="298">
      <c r="E298" s="12"/>
      <c r="I298" s="11"/>
    </row>
    <row r="299">
      <c r="E299" s="12"/>
      <c r="I299" s="11"/>
    </row>
    <row r="300">
      <c r="E300" s="12"/>
      <c r="I300" s="11"/>
    </row>
    <row r="301">
      <c r="E301" s="12"/>
      <c r="I301" s="11"/>
    </row>
    <row r="302">
      <c r="E302" s="12"/>
      <c r="I302" s="11"/>
    </row>
    <row r="303">
      <c r="E303" s="12"/>
      <c r="I303" s="11"/>
    </row>
    <row r="304">
      <c r="E304" s="12"/>
      <c r="I304" s="11"/>
    </row>
    <row r="305">
      <c r="E305" s="12"/>
      <c r="I305" s="11"/>
    </row>
    <row r="306">
      <c r="E306" s="12"/>
      <c r="I306" s="11"/>
    </row>
    <row r="307">
      <c r="E307" s="12"/>
      <c r="I307" s="11"/>
    </row>
    <row r="308">
      <c r="E308" s="12"/>
      <c r="I308" s="11"/>
    </row>
    <row r="309">
      <c r="E309" s="12"/>
      <c r="I309" s="11"/>
    </row>
    <row r="310">
      <c r="E310" s="12"/>
      <c r="I310" s="11"/>
    </row>
    <row r="311">
      <c r="E311" s="12"/>
      <c r="I311" s="11"/>
    </row>
    <row r="312">
      <c r="E312" s="12"/>
      <c r="I312" s="11"/>
    </row>
    <row r="313">
      <c r="E313" s="12"/>
      <c r="I313" s="11"/>
    </row>
    <row r="314">
      <c r="E314" s="12"/>
      <c r="I314" s="11"/>
    </row>
    <row r="315">
      <c r="E315" s="12"/>
      <c r="I315" s="11"/>
    </row>
    <row r="316">
      <c r="E316" s="12"/>
      <c r="I316" s="11"/>
    </row>
    <row r="317">
      <c r="E317" s="12"/>
      <c r="I317" s="11"/>
    </row>
    <row r="318">
      <c r="E318" s="12"/>
      <c r="I318" s="11"/>
    </row>
    <row r="319">
      <c r="E319" s="12"/>
      <c r="I319" s="11"/>
    </row>
    <row r="320">
      <c r="E320" s="12"/>
      <c r="I320" s="11"/>
    </row>
    <row r="321">
      <c r="E321" s="12"/>
      <c r="I321" s="11"/>
    </row>
    <row r="322">
      <c r="E322" s="12"/>
      <c r="I322" s="11"/>
    </row>
    <row r="323">
      <c r="E323" s="12"/>
      <c r="I323" s="11"/>
    </row>
    <row r="324">
      <c r="E324" s="12"/>
      <c r="I324" s="11"/>
    </row>
    <row r="325">
      <c r="E325" s="12"/>
      <c r="I325" s="11"/>
    </row>
    <row r="326">
      <c r="E326" s="12"/>
      <c r="I326" s="11"/>
    </row>
    <row r="327">
      <c r="E327" s="12"/>
      <c r="I327" s="11"/>
    </row>
    <row r="328">
      <c r="E328" s="12"/>
      <c r="I328" s="11"/>
    </row>
    <row r="329">
      <c r="E329" s="12"/>
      <c r="I329" s="11"/>
    </row>
    <row r="330">
      <c r="E330" s="12"/>
      <c r="I330" s="11"/>
    </row>
    <row r="331">
      <c r="E331" s="12"/>
      <c r="I331" s="11"/>
    </row>
    <row r="332">
      <c r="E332" s="12"/>
      <c r="I332" s="11"/>
    </row>
    <row r="333">
      <c r="E333" s="12"/>
      <c r="I333" s="11"/>
    </row>
    <row r="334">
      <c r="E334" s="12"/>
      <c r="I334" s="11"/>
    </row>
    <row r="335">
      <c r="E335" s="12"/>
      <c r="I335" s="11"/>
    </row>
    <row r="336">
      <c r="E336" s="12"/>
      <c r="I336" s="11"/>
    </row>
    <row r="337">
      <c r="E337" s="12"/>
      <c r="I337" s="11"/>
    </row>
    <row r="338">
      <c r="E338" s="12"/>
      <c r="I338" s="11"/>
    </row>
    <row r="339">
      <c r="E339" s="12"/>
      <c r="I339" s="11"/>
    </row>
    <row r="340">
      <c r="E340" s="12"/>
      <c r="I340" s="11"/>
    </row>
    <row r="341">
      <c r="E341" s="12"/>
      <c r="I341" s="11"/>
    </row>
    <row r="342">
      <c r="E342" s="12"/>
      <c r="I342" s="11"/>
    </row>
    <row r="343">
      <c r="E343" s="12"/>
      <c r="I343" s="11"/>
    </row>
    <row r="344">
      <c r="E344" s="12"/>
      <c r="I344" s="11"/>
    </row>
    <row r="345">
      <c r="E345" s="12"/>
      <c r="I345" s="11"/>
    </row>
    <row r="346">
      <c r="E346" s="12"/>
      <c r="I346" s="11"/>
    </row>
    <row r="347">
      <c r="E347" s="12"/>
      <c r="I347" s="11"/>
    </row>
    <row r="348">
      <c r="E348" s="12"/>
      <c r="I348" s="11"/>
    </row>
    <row r="349">
      <c r="E349" s="12"/>
      <c r="I349" s="11"/>
    </row>
    <row r="350">
      <c r="E350" s="12"/>
      <c r="I350" s="11"/>
    </row>
    <row r="351">
      <c r="E351" s="12"/>
      <c r="I351" s="11"/>
    </row>
    <row r="352">
      <c r="E352" s="12"/>
      <c r="I352" s="11"/>
    </row>
    <row r="353">
      <c r="E353" s="12"/>
      <c r="I353" s="11"/>
    </row>
    <row r="354">
      <c r="E354" s="12"/>
      <c r="I354" s="11"/>
    </row>
    <row r="355">
      <c r="E355" s="12"/>
      <c r="I355" s="11"/>
    </row>
    <row r="356">
      <c r="E356" s="12"/>
      <c r="I356" s="11"/>
    </row>
    <row r="357">
      <c r="E357" s="12"/>
      <c r="I357" s="11"/>
    </row>
    <row r="358">
      <c r="E358" s="12"/>
      <c r="I358" s="11"/>
    </row>
    <row r="359">
      <c r="E359" s="12"/>
      <c r="I359" s="11"/>
    </row>
    <row r="360">
      <c r="E360" s="12"/>
      <c r="I360" s="11"/>
    </row>
    <row r="361">
      <c r="E361" s="12"/>
      <c r="I361" s="11"/>
    </row>
    <row r="362">
      <c r="E362" s="12"/>
      <c r="I362" s="11"/>
    </row>
    <row r="363">
      <c r="E363" s="12"/>
      <c r="I363" s="11"/>
    </row>
    <row r="364">
      <c r="E364" s="12"/>
      <c r="I364" s="11"/>
    </row>
    <row r="365">
      <c r="E365" s="12"/>
      <c r="I365" s="11"/>
    </row>
    <row r="366">
      <c r="E366" s="12"/>
      <c r="I366" s="11"/>
    </row>
    <row r="367">
      <c r="E367" s="12"/>
      <c r="I367" s="11"/>
    </row>
    <row r="368">
      <c r="E368" s="12"/>
      <c r="I368" s="11"/>
    </row>
    <row r="369">
      <c r="E369" s="12"/>
      <c r="I369" s="11"/>
    </row>
    <row r="370">
      <c r="E370" s="12"/>
      <c r="I370" s="11"/>
    </row>
    <row r="371">
      <c r="E371" s="12"/>
      <c r="I371" s="11"/>
    </row>
    <row r="372">
      <c r="E372" s="12"/>
      <c r="I372" s="11"/>
    </row>
    <row r="373">
      <c r="E373" s="12"/>
      <c r="I373" s="11"/>
    </row>
    <row r="374">
      <c r="E374" s="12"/>
      <c r="I374" s="11"/>
    </row>
    <row r="375">
      <c r="E375" s="12"/>
      <c r="I375" s="11"/>
    </row>
    <row r="376">
      <c r="E376" s="12"/>
      <c r="I376" s="11"/>
    </row>
    <row r="377">
      <c r="E377" s="12"/>
      <c r="I377" s="11"/>
    </row>
    <row r="378">
      <c r="E378" s="12"/>
      <c r="I378" s="11"/>
    </row>
    <row r="379">
      <c r="E379" s="12"/>
      <c r="I379" s="11"/>
    </row>
    <row r="380">
      <c r="E380" s="12"/>
      <c r="I380" s="11"/>
    </row>
    <row r="381">
      <c r="E381" s="12"/>
      <c r="I381" s="11"/>
    </row>
    <row r="382">
      <c r="E382" s="12"/>
      <c r="I382" s="11"/>
    </row>
    <row r="383">
      <c r="E383" s="12"/>
      <c r="I383" s="11"/>
    </row>
    <row r="384">
      <c r="E384" s="12"/>
      <c r="I384" s="11"/>
    </row>
    <row r="385">
      <c r="E385" s="12"/>
      <c r="I385" s="11"/>
    </row>
    <row r="386">
      <c r="E386" s="12"/>
      <c r="I386" s="11"/>
    </row>
    <row r="387">
      <c r="E387" s="12"/>
      <c r="I387" s="11"/>
    </row>
    <row r="388">
      <c r="E388" s="12"/>
      <c r="I388" s="11"/>
    </row>
    <row r="389">
      <c r="E389" s="12"/>
      <c r="I389" s="11"/>
    </row>
    <row r="390">
      <c r="E390" s="12"/>
      <c r="I390" s="11"/>
    </row>
    <row r="391">
      <c r="E391" s="12"/>
      <c r="I391" s="11"/>
    </row>
    <row r="392">
      <c r="E392" s="12"/>
      <c r="I392" s="11"/>
    </row>
    <row r="393">
      <c r="E393" s="12"/>
      <c r="I393" s="11"/>
    </row>
    <row r="394">
      <c r="E394" s="12"/>
      <c r="I394" s="11"/>
    </row>
    <row r="395">
      <c r="E395" s="12"/>
      <c r="I395" s="11"/>
    </row>
    <row r="396">
      <c r="E396" s="12"/>
      <c r="I396" s="11"/>
    </row>
    <row r="397">
      <c r="E397" s="12"/>
      <c r="I397" s="11"/>
    </row>
    <row r="398">
      <c r="E398" s="12"/>
      <c r="I398" s="11"/>
    </row>
    <row r="399">
      <c r="E399" s="12"/>
      <c r="I399" s="11"/>
    </row>
    <row r="400">
      <c r="E400" s="12"/>
      <c r="I400" s="11"/>
    </row>
    <row r="401">
      <c r="E401" s="12"/>
      <c r="I401" s="11"/>
    </row>
    <row r="402">
      <c r="E402" s="12"/>
      <c r="I402" s="11"/>
    </row>
    <row r="403">
      <c r="E403" s="12"/>
      <c r="I403" s="11"/>
    </row>
    <row r="404">
      <c r="E404" s="12"/>
      <c r="I404" s="11"/>
    </row>
    <row r="405">
      <c r="E405" s="12"/>
      <c r="I405" s="11"/>
    </row>
    <row r="406">
      <c r="E406" s="12"/>
      <c r="I406" s="11"/>
    </row>
    <row r="407">
      <c r="E407" s="12"/>
      <c r="I407" s="11"/>
    </row>
    <row r="408">
      <c r="E408" s="12"/>
      <c r="I408" s="11"/>
    </row>
    <row r="409">
      <c r="E409" s="12"/>
      <c r="I409" s="11"/>
    </row>
    <row r="410">
      <c r="E410" s="12"/>
      <c r="I410" s="11"/>
    </row>
    <row r="411">
      <c r="E411" s="12"/>
      <c r="I411" s="11"/>
    </row>
    <row r="412">
      <c r="E412" s="12"/>
      <c r="I412" s="11"/>
    </row>
    <row r="413">
      <c r="E413" s="12"/>
      <c r="I413" s="11"/>
    </row>
    <row r="414">
      <c r="E414" s="12"/>
      <c r="I414" s="11"/>
    </row>
    <row r="415">
      <c r="E415" s="12"/>
      <c r="I415" s="11"/>
    </row>
    <row r="416">
      <c r="E416" s="12"/>
      <c r="I416" s="11"/>
    </row>
    <row r="417">
      <c r="E417" s="12"/>
      <c r="I417" s="11"/>
    </row>
    <row r="418">
      <c r="E418" s="12"/>
      <c r="I418" s="11"/>
    </row>
    <row r="419">
      <c r="E419" s="12"/>
      <c r="I419" s="11"/>
    </row>
    <row r="420">
      <c r="E420" s="12"/>
      <c r="I420" s="11"/>
    </row>
    <row r="421">
      <c r="E421" s="12"/>
      <c r="I421" s="11"/>
    </row>
    <row r="422">
      <c r="E422" s="12"/>
      <c r="I422" s="11"/>
    </row>
    <row r="423">
      <c r="E423" s="12"/>
      <c r="I423" s="11"/>
    </row>
    <row r="424">
      <c r="E424" s="12"/>
      <c r="I424" s="11"/>
    </row>
    <row r="425">
      <c r="E425" s="12"/>
      <c r="I425" s="11"/>
    </row>
    <row r="426">
      <c r="E426" s="12"/>
      <c r="I426" s="11"/>
    </row>
    <row r="427">
      <c r="E427" s="12"/>
      <c r="I427" s="11"/>
    </row>
    <row r="428">
      <c r="E428" s="12"/>
      <c r="I428" s="11"/>
    </row>
    <row r="429">
      <c r="E429" s="12"/>
      <c r="I429" s="11"/>
    </row>
    <row r="430">
      <c r="E430" s="12"/>
      <c r="I430" s="11"/>
    </row>
    <row r="431">
      <c r="E431" s="12"/>
      <c r="I431" s="11"/>
    </row>
    <row r="432">
      <c r="E432" s="12"/>
      <c r="I432" s="11"/>
    </row>
    <row r="433">
      <c r="E433" s="12"/>
      <c r="I433" s="11"/>
    </row>
    <row r="434">
      <c r="E434" s="12"/>
      <c r="I434" s="11"/>
    </row>
    <row r="435">
      <c r="E435" s="12"/>
      <c r="I435" s="11"/>
    </row>
    <row r="436">
      <c r="E436" s="12"/>
      <c r="I436" s="11"/>
    </row>
    <row r="437">
      <c r="E437" s="12"/>
      <c r="I437" s="11"/>
    </row>
    <row r="438">
      <c r="E438" s="12"/>
      <c r="I438" s="11"/>
    </row>
    <row r="439">
      <c r="E439" s="12"/>
      <c r="I439" s="11"/>
    </row>
    <row r="440">
      <c r="E440" s="12"/>
      <c r="I440" s="11"/>
    </row>
    <row r="441">
      <c r="E441" s="12"/>
      <c r="I441" s="11"/>
    </row>
    <row r="442">
      <c r="E442" s="12"/>
      <c r="I442" s="11"/>
    </row>
    <row r="443">
      <c r="E443" s="12"/>
      <c r="I443" s="11"/>
    </row>
    <row r="444">
      <c r="E444" s="12"/>
      <c r="I444" s="11"/>
    </row>
    <row r="445">
      <c r="E445" s="12"/>
      <c r="I445" s="11"/>
    </row>
    <row r="446">
      <c r="E446" s="12"/>
      <c r="I446" s="11"/>
    </row>
    <row r="447">
      <c r="E447" s="12"/>
      <c r="I447" s="11"/>
    </row>
    <row r="448">
      <c r="E448" s="12"/>
      <c r="I448" s="11"/>
    </row>
    <row r="449">
      <c r="E449" s="12"/>
      <c r="I449" s="11"/>
    </row>
    <row r="450">
      <c r="E450" s="12"/>
      <c r="I450" s="11"/>
    </row>
    <row r="451">
      <c r="E451" s="12"/>
      <c r="I451" s="11"/>
    </row>
    <row r="452">
      <c r="E452" s="12"/>
      <c r="I452" s="11"/>
    </row>
    <row r="453">
      <c r="E453" s="12"/>
      <c r="I453" s="11"/>
    </row>
    <row r="454">
      <c r="E454" s="12"/>
      <c r="I454" s="11"/>
    </row>
    <row r="455">
      <c r="E455" s="12"/>
      <c r="I455" s="11"/>
    </row>
    <row r="456">
      <c r="E456" s="12"/>
      <c r="I456" s="11"/>
    </row>
    <row r="457">
      <c r="E457" s="12"/>
      <c r="I457" s="11"/>
    </row>
    <row r="458">
      <c r="E458" s="12"/>
      <c r="I458" s="11"/>
    </row>
    <row r="459">
      <c r="E459" s="12"/>
      <c r="I459" s="11"/>
    </row>
    <row r="460">
      <c r="E460" s="12"/>
      <c r="I460" s="11"/>
    </row>
    <row r="461">
      <c r="E461" s="12"/>
      <c r="I461" s="11"/>
    </row>
    <row r="462">
      <c r="E462" s="12"/>
      <c r="I462" s="11"/>
    </row>
    <row r="463">
      <c r="E463" s="12"/>
      <c r="I463" s="11"/>
    </row>
    <row r="464">
      <c r="E464" s="12"/>
      <c r="I464" s="11"/>
    </row>
    <row r="465">
      <c r="E465" s="12"/>
      <c r="I465" s="11"/>
    </row>
    <row r="466">
      <c r="E466" s="12"/>
      <c r="I466" s="11"/>
    </row>
    <row r="467">
      <c r="E467" s="12"/>
      <c r="I467" s="11"/>
    </row>
    <row r="468">
      <c r="E468" s="12"/>
      <c r="I468" s="11"/>
    </row>
    <row r="469">
      <c r="E469" s="12"/>
      <c r="I469" s="11"/>
    </row>
    <row r="470">
      <c r="E470" s="12"/>
      <c r="I470" s="11"/>
    </row>
    <row r="471">
      <c r="E471" s="12"/>
      <c r="I471" s="11"/>
    </row>
    <row r="472">
      <c r="E472" s="12"/>
      <c r="I472" s="11"/>
    </row>
    <row r="473">
      <c r="E473" s="12"/>
      <c r="I473" s="11"/>
    </row>
    <row r="474">
      <c r="E474" s="12"/>
      <c r="I474" s="11"/>
    </row>
    <row r="475">
      <c r="E475" s="12"/>
      <c r="I475" s="11"/>
    </row>
    <row r="476">
      <c r="E476" s="12"/>
      <c r="I476" s="11"/>
    </row>
    <row r="477">
      <c r="E477" s="12"/>
      <c r="I477" s="11"/>
    </row>
    <row r="478">
      <c r="E478" s="12"/>
      <c r="I478" s="11"/>
    </row>
    <row r="479">
      <c r="E479" s="12"/>
      <c r="I479" s="11"/>
    </row>
    <row r="480">
      <c r="E480" s="12"/>
      <c r="I480" s="11"/>
    </row>
    <row r="481">
      <c r="E481" s="12"/>
      <c r="I481" s="11"/>
    </row>
    <row r="482">
      <c r="E482" s="12"/>
      <c r="I482" s="11"/>
    </row>
    <row r="483">
      <c r="E483" s="12"/>
      <c r="I483" s="11"/>
    </row>
    <row r="484">
      <c r="E484" s="12"/>
      <c r="I484" s="11"/>
    </row>
    <row r="485">
      <c r="E485" s="12"/>
      <c r="I485" s="11"/>
    </row>
    <row r="486">
      <c r="E486" s="12"/>
      <c r="I486" s="11"/>
    </row>
    <row r="487">
      <c r="E487" s="12"/>
      <c r="I487" s="11"/>
    </row>
    <row r="488">
      <c r="E488" s="12"/>
      <c r="I488" s="11"/>
    </row>
    <row r="489">
      <c r="E489" s="12"/>
      <c r="I489" s="11"/>
    </row>
    <row r="490">
      <c r="E490" s="12"/>
      <c r="I490" s="11"/>
    </row>
    <row r="491">
      <c r="E491" s="12"/>
      <c r="I491" s="11"/>
    </row>
    <row r="492">
      <c r="E492" s="12"/>
      <c r="I492" s="11"/>
    </row>
    <row r="493">
      <c r="E493" s="12"/>
      <c r="I493" s="11"/>
    </row>
    <row r="494">
      <c r="E494" s="12"/>
      <c r="I494" s="11"/>
    </row>
    <row r="495">
      <c r="E495" s="12"/>
      <c r="I495" s="11"/>
    </row>
    <row r="496">
      <c r="E496" s="12"/>
      <c r="I496" s="11"/>
    </row>
    <row r="497">
      <c r="E497" s="12"/>
      <c r="I497" s="11"/>
    </row>
    <row r="498">
      <c r="E498" s="12"/>
      <c r="I498" s="11"/>
    </row>
    <row r="499">
      <c r="E499" s="12"/>
      <c r="I499" s="11"/>
    </row>
    <row r="500">
      <c r="E500" s="12"/>
      <c r="I500" s="11"/>
    </row>
    <row r="501">
      <c r="E501" s="12"/>
      <c r="I501" s="11"/>
    </row>
    <row r="502">
      <c r="E502" s="12"/>
      <c r="I502" s="11"/>
    </row>
    <row r="503">
      <c r="E503" s="12"/>
      <c r="I503" s="11"/>
    </row>
    <row r="504">
      <c r="E504" s="12"/>
      <c r="I504" s="11"/>
    </row>
    <row r="505">
      <c r="E505" s="12"/>
      <c r="I505" s="11"/>
    </row>
    <row r="506">
      <c r="E506" s="12"/>
      <c r="I506" s="11"/>
    </row>
    <row r="507">
      <c r="E507" s="12"/>
      <c r="I507" s="11"/>
    </row>
    <row r="508">
      <c r="E508" s="12"/>
      <c r="I508" s="11"/>
    </row>
    <row r="509">
      <c r="E509" s="12"/>
      <c r="I509" s="11"/>
    </row>
    <row r="510">
      <c r="E510" s="12"/>
      <c r="I510" s="11"/>
    </row>
    <row r="511">
      <c r="E511" s="12"/>
      <c r="I511" s="11"/>
    </row>
    <row r="512">
      <c r="E512" s="12"/>
      <c r="I512" s="11"/>
    </row>
    <row r="513">
      <c r="E513" s="12"/>
      <c r="I513" s="11"/>
    </row>
    <row r="514">
      <c r="E514" s="12"/>
      <c r="I514" s="11"/>
    </row>
    <row r="515">
      <c r="E515" s="12"/>
      <c r="I515" s="11"/>
    </row>
    <row r="516">
      <c r="E516" s="12"/>
      <c r="I516" s="11"/>
    </row>
    <row r="517">
      <c r="E517" s="12"/>
      <c r="I517" s="11"/>
    </row>
    <row r="518">
      <c r="E518" s="12"/>
      <c r="I518" s="11"/>
    </row>
    <row r="519">
      <c r="E519" s="12"/>
      <c r="I519" s="11"/>
    </row>
    <row r="520">
      <c r="E520" s="12"/>
      <c r="I520" s="11"/>
    </row>
    <row r="521">
      <c r="E521" s="12"/>
      <c r="I521" s="11"/>
    </row>
    <row r="522">
      <c r="E522" s="12"/>
      <c r="I522" s="11"/>
    </row>
    <row r="523">
      <c r="E523" s="12"/>
      <c r="I523" s="11"/>
    </row>
    <row r="524">
      <c r="E524" s="12"/>
      <c r="I524" s="11"/>
    </row>
    <row r="525">
      <c r="E525" s="12"/>
      <c r="I525" s="11"/>
    </row>
    <row r="526">
      <c r="E526" s="12"/>
      <c r="I526" s="11"/>
    </row>
    <row r="527">
      <c r="E527" s="12"/>
      <c r="I527" s="11"/>
    </row>
    <row r="528">
      <c r="E528" s="12"/>
      <c r="I528" s="11"/>
    </row>
    <row r="529">
      <c r="E529" s="12"/>
      <c r="I529" s="11"/>
    </row>
    <row r="530">
      <c r="E530" s="12"/>
      <c r="I530" s="11"/>
    </row>
    <row r="531">
      <c r="E531" s="12"/>
      <c r="I531" s="11"/>
    </row>
    <row r="532">
      <c r="E532" s="12"/>
      <c r="I532" s="11"/>
    </row>
    <row r="533">
      <c r="E533" s="12"/>
      <c r="I533" s="11"/>
    </row>
    <row r="534">
      <c r="E534" s="12"/>
      <c r="I534" s="11"/>
    </row>
    <row r="535">
      <c r="E535" s="12"/>
      <c r="I535" s="11"/>
    </row>
    <row r="536">
      <c r="E536" s="12"/>
      <c r="I536" s="11"/>
    </row>
    <row r="537">
      <c r="E537" s="12"/>
      <c r="I537" s="11"/>
    </row>
    <row r="538">
      <c r="E538" s="12"/>
      <c r="I538" s="11"/>
    </row>
    <row r="539">
      <c r="E539" s="12"/>
      <c r="I539" s="11"/>
    </row>
    <row r="540">
      <c r="E540" s="12"/>
      <c r="I540" s="11"/>
    </row>
    <row r="541">
      <c r="E541" s="12"/>
      <c r="I541" s="11"/>
    </row>
    <row r="542">
      <c r="E542" s="12"/>
      <c r="I542" s="11"/>
    </row>
    <row r="543">
      <c r="E543" s="12"/>
      <c r="I543" s="11"/>
    </row>
    <row r="544">
      <c r="E544" s="12"/>
      <c r="I544" s="11"/>
    </row>
    <row r="545">
      <c r="E545" s="12"/>
      <c r="I545" s="11"/>
    </row>
    <row r="546">
      <c r="E546" s="12"/>
      <c r="I546" s="11"/>
    </row>
    <row r="547">
      <c r="E547" s="12"/>
      <c r="I547" s="11"/>
    </row>
    <row r="548">
      <c r="E548" s="12"/>
      <c r="I548" s="11"/>
    </row>
    <row r="549">
      <c r="E549" s="12"/>
      <c r="I549" s="11"/>
    </row>
    <row r="550">
      <c r="E550" s="12"/>
      <c r="I550" s="11"/>
    </row>
    <row r="551">
      <c r="E551" s="12"/>
      <c r="I551" s="11"/>
    </row>
    <row r="552">
      <c r="E552" s="12"/>
      <c r="I552" s="11"/>
    </row>
    <row r="553">
      <c r="E553" s="12"/>
      <c r="I553" s="11"/>
    </row>
    <row r="554">
      <c r="E554" s="12"/>
      <c r="I554" s="11"/>
    </row>
    <row r="555">
      <c r="E555" s="12"/>
      <c r="I555" s="11"/>
    </row>
    <row r="556">
      <c r="E556" s="12"/>
      <c r="I556" s="11"/>
    </row>
    <row r="557">
      <c r="E557" s="12"/>
      <c r="I557" s="11"/>
    </row>
    <row r="558">
      <c r="E558" s="12"/>
      <c r="I558" s="11"/>
    </row>
    <row r="559">
      <c r="E559" s="12"/>
      <c r="I559" s="11"/>
    </row>
    <row r="560">
      <c r="E560" s="12"/>
      <c r="I560" s="11"/>
    </row>
    <row r="561">
      <c r="E561" s="12"/>
      <c r="I561" s="11"/>
    </row>
    <row r="562">
      <c r="E562" s="12"/>
      <c r="I562" s="11"/>
    </row>
    <row r="563">
      <c r="E563" s="12"/>
      <c r="I563" s="11"/>
    </row>
    <row r="564">
      <c r="E564" s="12"/>
      <c r="I564" s="11"/>
    </row>
    <row r="565">
      <c r="E565" s="12"/>
      <c r="I565" s="11"/>
    </row>
    <row r="566">
      <c r="E566" s="12"/>
      <c r="I566" s="11"/>
    </row>
    <row r="567">
      <c r="E567" s="12"/>
      <c r="I567" s="11"/>
    </row>
    <row r="568">
      <c r="E568" s="12"/>
      <c r="I568" s="11"/>
    </row>
    <row r="569">
      <c r="E569" s="12"/>
      <c r="I569" s="11"/>
    </row>
    <row r="570">
      <c r="E570" s="12"/>
      <c r="I570" s="11"/>
    </row>
    <row r="571">
      <c r="E571" s="12"/>
      <c r="I571" s="11"/>
    </row>
    <row r="572">
      <c r="E572" s="12"/>
      <c r="I572" s="11"/>
    </row>
    <row r="573">
      <c r="E573" s="12"/>
      <c r="I573" s="11"/>
    </row>
    <row r="574">
      <c r="E574" s="12"/>
      <c r="I574" s="11"/>
    </row>
    <row r="575">
      <c r="E575" s="12"/>
      <c r="I575" s="11"/>
    </row>
    <row r="576">
      <c r="E576" s="12"/>
      <c r="I576" s="11"/>
    </row>
    <row r="577">
      <c r="E577" s="12"/>
      <c r="I577" s="11"/>
    </row>
    <row r="578">
      <c r="E578" s="12"/>
      <c r="I578" s="11"/>
    </row>
    <row r="579">
      <c r="E579" s="12"/>
      <c r="I579" s="11"/>
    </row>
    <row r="580">
      <c r="E580" s="12"/>
      <c r="I580" s="11"/>
    </row>
    <row r="581">
      <c r="E581" s="12"/>
      <c r="I581" s="11"/>
    </row>
    <row r="582">
      <c r="E582" s="12"/>
      <c r="I582" s="11"/>
    </row>
    <row r="583">
      <c r="E583" s="12"/>
      <c r="I583" s="11"/>
    </row>
    <row r="584">
      <c r="E584" s="12"/>
      <c r="I584" s="11"/>
    </row>
    <row r="585">
      <c r="E585" s="12"/>
      <c r="I585" s="11"/>
    </row>
    <row r="586">
      <c r="E586" s="12"/>
      <c r="I586" s="11"/>
    </row>
    <row r="587">
      <c r="E587" s="12"/>
      <c r="I587" s="11"/>
    </row>
    <row r="588">
      <c r="E588" s="12"/>
      <c r="I588" s="11"/>
    </row>
    <row r="589">
      <c r="E589" s="12"/>
      <c r="I589" s="11"/>
    </row>
    <row r="590">
      <c r="E590" s="12"/>
      <c r="I590" s="11"/>
    </row>
    <row r="591">
      <c r="E591" s="12"/>
      <c r="I591" s="11"/>
    </row>
    <row r="592">
      <c r="E592" s="12"/>
      <c r="I592" s="11"/>
    </row>
    <row r="593">
      <c r="E593" s="12"/>
      <c r="I593" s="11"/>
    </row>
    <row r="594">
      <c r="E594" s="12"/>
      <c r="I594" s="11"/>
    </row>
    <row r="595">
      <c r="E595" s="12"/>
      <c r="I595" s="11"/>
    </row>
    <row r="596">
      <c r="E596" s="12"/>
      <c r="I596" s="11"/>
    </row>
    <row r="597">
      <c r="E597" s="12"/>
      <c r="I597" s="11"/>
    </row>
    <row r="598">
      <c r="E598" s="12"/>
      <c r="I598" s="11"/>
    </row>
    <row r="599">
      <c r="E599" s="12"/>
      <c r="I599" s="11"/>
    </row>
    <row r="600">
      <c r="E600" s="12"/>
      <c r="I600" s="11"/>
    </row>
    <row r="601">
      <c r="E601" s="12"/>
      <c r="I601" s="11"/>
    </row>
    <row r="602">
      <c r="E602" s="12"/>
      <c r="I602" s="11"/>
    </row>
    <row r="603">
      <c r="E603" s="12"/>
      <c r="I603" s="11"/>
    </row>
    <row r="604">
      <c r="E604" s="12"/>
      <c r="I604" s="11"/>
    </row>
    <row r="605">
      <c r="E605" s="12"/>
      <c r="I605" s="11"/>
    </row>
    <row r="606">
      <c r="E606" s="12"/>
      <c r="I606" s="11"/>
    </row>
    <row r="607">
      <c r="E607" s="12"/>
      <c r="I607" s="11"/>
    </row>
    <row r="608">
      <c r="E608" s="12"/>
      <c r="I608" s="11"/>
    </row>
    <row r="609">
      <c r="E609" s="12"/>
      <c r="I609" s="11"/>
    </row>
    <row r="610">
      <c r="E610" s="12"/>
      <c r="I610" s="11"/>
    </row>
    <row r="611">
      <c r="E611" s="12"/>
      <c r="I611" s="11"/>
    </row>
    <row r="612">
      <c r="E612" s="12"/>
      <c r="I612" s="11"/>
    </row>
    <row r="613">
      <c r="E613" s="12"/>
      <c r="I613" s="11"/>
    </row>
    <row r="614">
      <c r="E614" s="12"/>
      <c r="I614" s="11"/>
    </row>
    <row r="615">
      <c r="E615" s="12"/>
      <c r="I615" s="11"/>
    </row>
    <row r="616">
      <c r="E616" s="12"/>
      <c r="I616" s="11"/>
    </row>
    <row r="617">
      <c r="E617" s="12"/>
      <c r="I617" s="11"/>
    </row>
    <row r="618">
      <c r="E618" s="12"/>
      <c r="I618" s="11"/>
    </row>
    <row r="619">
      <c r="E619" s="12"/>
      <c r="I619" s="11"/>
    </row>
    <row r="620">
      <c r="E620" s="12"/>
      <c r="I620" s="11"/>
    </row>
    <row r="621">
      <c r="E621" s="12"/>
      <c r="I621" s="11"/>
    </row>
    <row r="622">
      <c r="E622" s="12"/>
      <c r="I622" s="11"/>
    </row>
    <row r="623">
      <c r="E623" s="12"/>
      <c r="I623" s="11"/>
    </row>
    <row r="624">
      <c r="E624" s="12"/>
      <c r="I624" s="11"/>
    </row>
    <row r="625">
      <c r="E625" s="12"/>
      <c r="I625" s="11"/>
    </row>
    <row r="626">
      <c r="E626" s="12"/>
      <c r="I626" s="11"/>
    </row>
    <row r="627">
      <c r="E627" s="12"/>
      <c r="I627" s="11"/>
    </row>
    <row r="628">
      <c r="E628" s="12"/>
      <c r="I628" s="11"/>
    </row>
    <row r="629">
      <c r="E629" s="12"/>
      <c r="I629" s="11"/>
    </row>
    <row r="630">
      <c r="E630" s="12"/>
      <c r="I630" s="11"/>
    </row>
    <row r="631">
      <c r="E631" s="12"/>
      <c r="I631" s="11"/>
    </row>
    <row r="632">
      <c r="E632" s="12"/>
      <c r="I632" s="11"/>
    </row>
    <row r="633">
      <c r="E633" s="12"/>
      <c r="I633" s="11"/>
    </row>
    <row r="634">
      <c r="E634" s="12"/>
      <c r="I634" s="11"/>
    </row>
    <row r="635">
      <c r="E635" s="12"/>
      <c r="I635" s="11"/>
    </row>
    <row r="636">
      <c r="E636" s="12"/>
      <c r="I636" s="11"/>
    </row>
    <row r="637">
      <c r="E637" s="12"/>
      <c r="I637" s="11"/>
    </row>
    <row r="638">
      <c r="E638" s="12"/>
      <c r="I638" s="11"/>
    </row>
    <row r="639">
      <c r="E639" s="12"/>
      <c r="I639" s="11"/>
    </row>
    <row r="640">
      <c r="E640" s="12"/>
      <c r="I640" s="11"/>
    </row>
    <row r="641">
      <c r="E641" s="12"/>
      <c r="I641" s="11"/>
    </row>
    <row r="642">
      <c r="E642" s="12"/>
      <c r="I642" s="11"/>
    </row>
    <row r="643">
      <c r="E643" s="12"/>
      <c r="I643" s="11"/>
    </row>
    <row r="644">
      <c r="E644" s="12"/>
      <c r="I644" s="11"/>
    </row>
    <row r="645">
      <c r="E645" s="12"/>
      <c r="I645" s="11"/>
    </row>
    <row r="646">
      <c r="E646" s="12"/>
      <c r="I646" s="11"/>
    </row>
    <row r="647">
      <c r="E647" s="12"/>
      <c r="I647" s="11"/>
    </row>
    <row r="648">
      <c r="E648" s="12"/>
      <c r="I648" s="11"/>
    </row>
    <row r="649">
      <c r="E649" s="12"/>
      <c r="I649" s="11"/>
    </row>
    <row r="650">
      <c r="E650" s="12"/>
      <c r="I650" s="11"/>
    </row>
    <row r="651">
      <c r="E651" s="12"/>
      <c r="I651" s="11"/>
    </row>
    <row r="652">
      <c r="E652" s="12"/>
      <c r="I652" s="11"/>
    </row>
    <row r="653">
      <c r="E653" s="12"/>
      <c r="I653" s="11"/>
    </row>
    <row r="654">
      <c r="E654" s="12"/>
      <c r="I654" s="11"/>
    </row>
    <row r="655">
      <c r="E655" s="12"/>
      <c r="I655" s="11"/>
    </row>
    <row r="656">
      <c r="E656" s="12"/>
      <c r="I656" s="11"/>
    </row>
    <row r="657">
      <c r="E657" s="12"/>
      <c r="I657" s="11"/>
    </row>
    <row r="658">
      <c r="E658" s="12"/>
      <c r="I658" s="11"/>
    </row>
    <row r="659">
      <c r="E659" s="12"/>
      <c r="I659" s="11"/>
    </row>
    <row r="660">
      <c r="E660" s="12"/>
      <c r="I660" s="11"/>
    </row>
    <row r="661">
      <c r="E661" s="12"/>
      <c r="I661" s="11"/>
    </row>
    <row r="662">
      <c r="E662" s="12"/>
      <c r="I662" s="11"/>
    </row>
    <row r="663">
      <c r="E663" s="12"/>
      <c r="I663" s="11"/>
    </row>
    <row r="664">
      <c r="E664" s="12"/>
      <c r="I664" s="11"/>
    </row>
    <row r="665">
      <c r="E665" s="12"/>
      <c r="I665" s="11"/>
    </row>
    <row r="666">
      <c r="E666" s="12"/>
      <c r="I666" s="11"/>
    </row>
    <row r="667">
      <c r="E667" s="12"/>
      <c r="I667" s="11"/>
    </row>
    <row r="668">
      <c r="E668" s="12"/>
      <c r="I668" s="11"/>
    </row>
    <row r="669">
      <c r="E669" s="12"/>
      <c r="I669" s="11"/>
    </row>
    <row r="670">
      <c r="E670" s="12"/>
      <c r="I670" s="11"/>
    </row>
    <row r="671">
      <c r="E671" s="12"/>
      <c r="I671" s="11"/>
    </row>
    <row r="672">
      <c r="E672" s="12"/>
      <c r="I672" s="11"/>
    </row>
    <row r="673">
      <c r="E673" s="12"/>
      <c r="I673" s="11"/>
    </row>
    <row r="674">
      <c r="E674" s="12"/>
      <c r="I674" s="11"/>
    </row>
    <row r="675">
      <c r="E675" s="12"/>
      <c r="I675" s="11"/>
    </row>
    <row r="676">
      <c r="E676" s="12"/>
      <c r="I676" s="11"/>
    </row>
    <row r="677">
      <c r="E677" s="12"/>
      <c r="I677" s="11"/>
    </row>
    <row r="678">
      <c r="E678" s="12"/>
      <c r="I678" s="11"/>
    </row>
    <row r="679">
      <c r="E679" s="12"/>
      <c r="I679" s="11"/>
    </row>
    <row r="680">
      <c r="E680" s="12"/>
      <c r="I680" s="11"/>
    </row>
    <row r="681">
      <c r="E681" s="12"/>
      <c r="I681" s="11"/>
    </row>
    <row r="682">
      <c r="E682" s="12"/>
      <c r="I682" s="11"/>
    </row>
    <row r="683">
      <c r="E683" s="12"/>
      <c r="I683" s="11"/>
    </row>
    <row r="684">
      <c r="E684" s="12"/>
      <c r="I684" s="11"/>
    </row>
    <row r="685">
      <c r="E685" s="12"/>
      <c r="I685" s="11"/>
    </row>
    <row r="686">
      <c r="E686" s="12"/>
      <c r="I686" s="11"/>
    </row>
    <row r="687">
      <c r="E687" s="12"/>
      <c r="I687" s="11"/>
    </row>
    <row r="688">
      <c r="E688" s="12"/>
      <c r="I688" s="11"/>
    </row>
    <row r="689">
      <c r="E689" s="12"/>
      <c r="I689" s="11"/>
    </row>
    <row r="690">
      <c r="E690" s="12"/>
      <c r="I690" s="11"/>
    </row>
    <row r="691">
      <c r="E691" s="12"/>
      <c r="I691" s="11"/>
    </row>
    <row r="692">
      <c r="E692" s="12"/>
      <c r="I692" s="11"/>
    </row>
    <row r="693">
      <c r="E693" s="12"/>
      <c r="I693" s="11"/>
    </row>
    <row r="694">
      <c r="E694" s="12"/>
      <c r="I694" s="11"/>
    </row>
    <row r="695">
      <c r="E695" s="12"/>
      <c r="I695" s="11"/>
    </row>
    <row r="696">
      <c r="E696" s="12"/>
      <c r="I696" s="11"/>
    </row>
    <row r="697">
      <c r="E697" s="12"/>
      <c r="I697" s="11"/>
    </row>
    <row r="698">
      <c r="E698" s="12"/>
      <c r="I698" s="11"/>
    </row>
    <row r="699">
      <c r="E699" s="12"/>
      <c r="I699" s="11"/>
    </row>
    <row r="700">
      <c r="E700" s="12"/>
      <c r="I700" s="11"/>
    </row>
    <row r="701">
      <c r="E701" s="12"/>
      <c r="I701" s="11"/>
    </row>
    <row r="702">
      <c r="E702" s="12"/>
      <c r="I702" s="11"/>
    </row>
    <row r="703">
      <c r="E703" s="12"/>
      <c r="I703" s="11"/>
    </row>
    <row r="704">
      <c r="E704" s="12"/>
      <c r="I704" s="11"/>
    </row>
    <row r="705">
      <c r="E705" s="12"/>
      <c r="I705" s="11"/>
    </row>
    <row r="706">
      <c r="E706" s="12"/>
      <c r="I706" s="11"/>
    </row>
    <row r="707">
      <c r="E707" s="12"/>
      <c r="I707" s="11"/>
    </row>
    <row r="708">
      <c r="E708" s="12"/>
      <c r="I708" s="11"/>
    </row>
    <row r="709">
      <c r="E709" s="12"/>
      <c r="I709" s="11"/>
    </row>
    <row r="710">
      <c r="E710" s="12"/>
      <c r="I710" s="11"/>
    </row>
    <row r="711">
      <c r="E711" s="12"/>
      <c r="I711" s="11"/>
    </row>
    <row r="712">
      <c r="E712" s="12"/>
      <c r="I712" s="11"/>
    </row>
    <row r="713">
      <c r="E713" s="12"/>
      <c r="I713" s="11"/>
    </row>
    <row r="714">
      <c r="E714" s="12"/>
      <c r="I714" s="11"/>
    </row>
    <row r="715">
      <c r="E715" s="12"/>
      <c r="I715" s="11"/>
    </row>
    <row r="716">
      <c r="E716" s="12"/>
      <c r="I716" s="11"/>
    </row>
    <row r="717">
      <c r="E717" s="12"/>
      <c r="I717" s="11"/>
    </row>
    <row r="718">
      <c r="E718" s="12"/>
      <c r="I718" s="11"/>
    </row>
    <row r="719">
      <c r="E719" s="12"/>
      <c r="I719" s="11"/>
    </row>
    <row r="720">
      <c r="E720" s="12"/>
      <c r="I720" s="11"/>
    </row>
    <row r="721">
      <c r="E721" s="12"/>
      <c r="I721" s="11"/>
    </row>
    <row r="722">
      <c r="E722" s="12"/>
      <c r="I722" s="11"/>
    </row>
    <row r="723">
      <c r="E723" s="12"/>
      <c r="I723" s="11"/>
    </row>
    <row r="724">
      <c r="E724" s="12"/>
      <c r="I724" s="11"/>
    </row>
    <row r="725">
      <c r="E725" s="12"/>
      <c r="I725" s="11"/>
    </row>
    <row r="726">
      <c r="E726" s="12"/>
      <c r="I726" s="11"/>
    </row>
    <row r="727">
      <c r="E727" s="12"/>
      <c r="I727" s="11"/>
    </row>
    <row r="728">
      <c r="E728" s="12"/>
      <c r="I728" s="11"/>
    </row>
    <row r="729">
      <c r="E729" s="12"/>
      <c r="I729" s="11"/>
    </row>
    <row r="730">
      <c r="E730" s="12"/>
      <c r="I730" s="11"/>
    </row>
    <row r="731">
      <c r="E731" s="12"/>
      <c r="I731" s="11"/>
    </row>
    <row r="732">
      <c r="E732" s="12"/>
      <c r="I732" s="11"/>
    </row>
    <row r="733">
      <c r="E733" s="12"/>
      <c r="I733" s="11"/>
    </row>
    <row r="734">
      <c r="E734" s="12"/>
      <c r="I734" s="11"/>
    </row>
    <row r="735">
      <c r="E735" s="12"/>
      <c r="I735" s="11"/>
    </row>
    <row r="736">
      <c r="E736" s="12"/>
      <c r="I736" s="11"/>
    </row>
    <row r="737">
      <c r="E737" s="12"/>
      <c r="I737" s="11"/>
    </row>
    <row r="738">
      <c r="E738" s="12"/>
      <c r="I738" s="11"/>
    </row>
    <row r="739">
      <c r="E739" s="12"/>
      <c r="I739" s="11"/>
    </row>
    <row r="740">
      <c r="E740" s="12"/>
      <c r="I740" s="11"/>
    </row>
    <row r="741">
      <c r="E741" s="12"/>
      <c r="I741" s="11"/>
    </row>
    <row r="742">
      <c r="E742" s="12"/>
      <c r="I742" s="11"/>
    </row>
    <row r="743">
      <c r="E743" s="12"/>
      <c r="I743" s="11"/>
    </row>
    <row r="744">
      <c r="E744" s="12"/>
      <c r="I744" s="11"/>
    </row>
    <row r="745">
      <c r="E745" s="12"/>
      <c r="I745" s="11"/>
    </row>
    <row r="746">
      <c r="E746" s="12"/>
      <c r="I746" s="11"/>
    </row>
    <row r="747">
      <c r="E747" s="12"/>
      <c r="I747" s="11"/>
    </row>
    <row r="748">
      <c r="E748" s="12"/>
      <c r="I748" s="11"/>
    </row>
    <row r="749">
      <c r="E749" s="12"/>
      <c r="I749" s="11"/>
    </row>
    <row r="750">
      <c r="E750" s="12"/>
      <c r="I750" s="11"/>
    </row>
    <row r="751">
      <c r="E751" s="12"/>
      <c r="I751" s="11"/>
    </row>
    <row r="752">
      <c r="E752" s="12"/>
      <c r="I752" s="11"/>
    </row>
    <row r="753">
      <c r="E753" s="12"/>
      <c r="I753" s="11"/>
    </row>
    <row r="754">
      <c r="E754" s="12"/>
      <c r="I754" s="11"/>
    </row>
    <row r="755">
      <c r="E755" s="12"/>
      <c r="I755" s="11"/>
    </row>
    <row r="756">
      <c r="E756" s="12"/>
      <c r="I756" s="11"/>
    </row>
    <row r="757">
      <c r="E757" s="12"/>
      <c r="I757" s="11"/>
    </row>
    <row r="758">
      <c r="E758" s="12"/>
      <c r="I758" s="11"/>
    </row>
    <row r="759">
      <c r="E759" s="12"/>
      <c r="I759" s="11"/>
    </row>
    <row r="760">
      <c r="E760" s="12"/>
      <c r="I760" s="11"/>
    </row>
    <row r="761">
      <c r="E761" s="12"/>
      <c r="I761" s="11"/>
    </row>
    <row r="762">
      <c r="E762" s="12"/>
      <c r="I762" s="11"/>
    </row>
    <row r="763">
      <c r="E763" s="12"/>
      <c r="I763" s="11"/>
    </row>
    <row r="764">
      <c r="E764" s="12"/>
      <c r="I764" s="11"/>
    </row>
    <row r="765">
      <c r="E765" s="12"/>
      <c r="I765" s="11"/>
    </row>
    <row r="766">
      <c r="E766" s="12"/>
      <c r="I766" s="11"/>
    </row>
    <row r="767">
      <c r="E767" s="12"/>
      <c r="I767" s="11"/>
    </row>
    <row r="768">
      <c r="E768" s="12"/>
      <c r="I768" s="11"/>
    </row>
    <row r="769">
      <c r="E769" s="12"/>
      <c r="I769" s="11"/>
    </row>
    <row r="770">
      <c r="E770" s="12"/>
      <c r="I770" s="11"/>
    </row>
    <row r="771">
      <c r="E771" s="12"/>
      <c r="I771" s="11"/>
    </row>
    <row r="772">
      <c r="E772" s="12"/>
      <c r="I772" s="11"/>
    </row>
    <row r="773">
      <c r="E773" s="12"/>
      <c r="I773" s="11"/>
    </row>
    <row r="774">
      <c r="E774" s="12"/>
      <c r="I774" s="11"/>
    </row>
    <row r="775">
      <c r="E775" s="12"/>
      <c r="I775" s="11"/>
    </row>
    <row r="776">
      <c r="E776" s="12"/>
      <c r="I776" s="11"/>
    </row>
    <row r="777">
      <c r="E777" s="12"/>
      <c r="I777" s="11"/>
    </row>
    <row r="778">
      <c r="E778" s="12"/>
      <c r="I778" s="11"/>
    </row>
    <row r="779">
      <c r="E779" s="12"/>
      <c r="I779" s="11"/>
    </row>
    <row r="780">
      <c r="E780" s="12"/>
      <c r="I780" s="11"/>
    </row>
    <row r="781">
      <c r="E781" s="12"/>
      <c r="I781" s="11"/>
    </row>
    <row r="782">
      <c r="E782" s="12"/>
      <c r="I782" s="11"/>
    </row>
    <row r="783">
      <c r="E783" s="12"/>
      <c r="I783" s="11"/>
    </row>
    <row r="784">
      <c r="E784" s="12"/>
      <c r="I784" s="11"/>
    </row>
    <row r="785">
      <c r="E785" s="12"/>
      <c r="I785" s="11"/>
    </row>
    <row r="786">
      <c r="E786" s="12"/>
      <c r="I786" s="11"/>
    </row>
    <row r="787">
      <c r="E787" s="12"/>
      <c r="I787" s="11"/>
    </row>
    <row r="788">
      <c r="E788" s="12"/>
      <c r="I788" s="11"/>
    </row>
    <row r="789">
      <c r="E789" s="12"/>
      <c r="I789" s="11"/>
    </row>
    <row r="790">
      <c r="E790" s="12"/>
      <c r="I790" s="11"/>
    </row>
    <row r="791">
      <c r="E791" s="12"/>
      <c r="I791" s="11"/>
    </row>
    <row r="792">
      <c r="E792" s="12"/>
      <c r="I792" s="11"/>
    </row>
    <row r="793">
      <c r="E793" s="12"/>
      <c r="I793" s="11"/>
    </row>
    <row r="794">
      <c r="E794" s="12"/>
      <c r="I794" s="11"/>
    </row>
    <row r="795">
      <c r="E795" s="12"/>
      <c r="I795" s="11"/>
    </row>
    <row r="796">
      <c r="E796" s="12"/>
      <c r="I796" s="11"/>
    </row>
    <row r="797">
      <c r="E797" s="12"/>
      <c r="I797" s="11"/>
    </row>
    <row r="798">
      <c r="E798" s="12"/>
      <c r="I798" s="11"/>
    </row>
    <row r="799">
      <c r="E799" s="12"/>
      <c r="I799" s="11"/>
    </row>
    <row r="800">
      <c r="E800" s="12"/>
      <c r="I800" s="11"/>
    </row>
    <row r="801">
      <c r="E801" s="12"/>
      <c r="I801" s="11"/>
    </row>
    <row r="802">
      <c r="E802" s="12"/>
      <c r="I802" s="11"/>
    </row>
    <row r="803">
      <c r="E803" s="12"/>
      <c r="I803" s="11"/>
    </row>
    <row r="804">
      <c r="E804" s="12"/>
      <c r="I804" s="11"/>
    </row>
    <row r="805">
      <c r="E805" s="12"/>
      <c r="I805" s="11"/>
    </row>
    <row r="806">
      <c r="E806" s="12"/>
      <c r="I806" s="11"/>
    </row>
    <row r="807">
      <c r="E807" s="12"/>
      <c r="I807" s="11"/>
    </row>
    <row r="808">
      <c r="E808" s="12"/>
      <c r="I808" s="11"/>
    </row>
    <row r="809">
      <c r="E809" s="12"/>
      <c r="I809" s="11"/>
    </row>
    <row r="810">
      <c r="E810" s="12"/>
      <c r="I810" s="11"/>
    </row>
    <row r="811">
      <c r="E811" s="12"/>
      <c r="I811" s="11"/>
    </row>
    <row r="812">
      <c r="E812" s="12"/>
      <c r="I812" s="11"/>
    </row>
    <row r="813">
      <c r="E813" s="12"/>
      <c r="I813" s="11"/>
    </row>
    <row r="814">
      <c r="E814" s="12"/>
      <c r="I814" s="11"/>
    </row>
    <row r="815">
      <c r="E815" s="12"/>
      <c r="I815" s="11"/>
    </row>
    <row r="816">
      <c r="E816" s="12"/>
      <c r="I816" s="11"/>
    </row>
    <row r="817">
      <c r="E817" s="12"/>
      <c r="I817" s="11"/>
    </row>
    <row r="818">
      <c r="E818" s="12"/>
      <c r="I818" s="11"/>
    </row>
    <row r="819">
      <c r="E819" s="12"/>
      <c r="I819" s="11"/>
    </row>
    <row r="820">
      <c r="E820" s="12"/>
      <c r="I820" s="11"/>
    </row>
    <row r="821">
      <c r="E821" s="12"/>
      <c r="I821" s="11"/>
    </row>
    <row r="822">
      <c r="E822" s="12"/>
      <c r="I822" s="11"/>
    </row>
    <row r="823">
      <c r="E823" s="12"/>
      <c r="I823" s="11"/>
    </row>
    <row r="824">
      <c r="E824" s="12"/>
      <c r="I824" s="11"/>
    </row>
    <row r="825">
      <c r="E825" s="12"/>
      <c r="I825" s="11"/>
    </row>
    <row r="826">
      <c r="E826" s="12"/>
      <c r="I826" s="11"/>
    </row>
    <row r="827">
      <c r="E827" s="12"/>
      <c r="I827" s="11"/>
    </row>
    <row r="828">
      <c r="E828" s="12"/>
      <c r="I828" s="11"/>
    </row>
    <row r="829">
      <c r="E829" s="12"/>
      <c r="I829" s="11"/>
    </row>
    <row r="830">
      <c r="E830" s="12"/>
      <c r="I830" s="11"/>
    </row>
    <row r="831">
      <c r="E831" s="12"/>
      <c r="I831" s="11"/>
    </row>
    <row r="832">
      <c r="E832" s="12"/>
      <c r="I832" s="11"/>
    </row>
    <row r="833">
      <c r="E833" s="12"/>
      <c r="I833" s="11"/>
    </row>
    <row r="834">
      <c r="E834" s="12"/>
      <c r="I834" s="11"/>
    </row>
    <row r="835">
      <c r="E835" s="12"/>
      <c r="I835" s="11"/>
    </row>
    <row r="836">
      <c r="E836" s="12"/>
      <c r="I836" s="11"/>
    </row>
    <row r="837">
      <c r="E837" s="12"/>
      <c r="I837" s="11"/>
    </row>
    <row r="838">
      <c r="E838" s="12"/>
      <c r="I838" s="11"/>
    </row>
    <row r="839">
      <c r="E839" s="12"/>
      <c r="I839" s="11"/>
    </row>
    <row r="840">
      <c r="E840" s="12"/>
      <c r="I840" s="11"/>
    </row>
    <row r="841">
      <c r="E841" s="12"/>
      <c r="I841" s="11"/>
    </row>
    <row r="842">
      <c r="E842" s="12"/>
      <c r="I842" s="11"/>
    </row>
    <row r="843">
      <c r="E843" s="12"/>
      <c r="I843" s="11"/>
    </row>
    <row r="844">
      <c r="E844" s="12"/>
      <c r="I844" s="11"/>
    </row>
    <row r="845">
      <c r="E845" s="12"/>
      <c r="I845" s="11"/>
    </row>
    <row r="846">
      <c r="E846" s="12"/>
      <c r="I846" s="11"/>
    </row>
    <row r="847">
      <c r="E847" s="12"/>
      <c r="I847" s="11"/>
    </row>
    <row r="848">
      <c r="E848" s="12"/>
      <c r="I848" s="11"/>
    </row>
    <row r="849">
      <c r="E849" s="12"/>
      <c r="I849" s="11"/>
    </row>
    <row r="850">
      <c r="E850" s="12"/>
      <c r="I850" s="11"/>
    </row>
    <row r="851">
      <c r="E851" s="12"/>
      <c r="I851" s="11"/>
    </row>
    <row r="852">
      <c r="E852" s="12"/>
      <c r="I852" s="11"/>
    </row>
    <row r="853">
      <c r="E853" s="12"/>
      <c r="I853" s="11"/>
    </row>
    <row r="854">
      <c r="E854" s="12"/>
      <c r="I854" s="11"/>
    </row>
    <row r="855">
      <c r="E855" s="12"/>
      <c r="I855" s="11"/>
    </row>
    <row r="856">
      <c r="E856" s="12"/>
      <c r="I856" s="11"/>
    </row>
    <row r="857">
      <c r="E857" s="12"/>
      <c r="I857" s="11"/>
    </row>
    <row r="858">
      <c r="E858" s="12"/>
      <c r="I858" s="11"/>
    </row>
    <row r="859">
      <c r="E859" s="12"/>
      <c r="I859" s="11"/>
    </row>
    <row r="860">
      <c r="E860" s="12"/>
      <c r="I860" s="11"/>
    </row>
    <row r="861">
      <c r="E861" s="12"/>
      <c r="I861" s="11"/>
    </row>
    <row r="862">
      <c r="E862" s="12"/>
      <c r="I862" s="11"/>
    </row>
    <row r="863">
      <c r="E863" s="12"/>
      <c r="I863" s="11"/>
    </row>
    <row r="864">
      <c r="E864" s="12"/>
      <c r="I864" s="11"/>
    </row>
    <row r="865">
      <c r="E865" s="12"/>
      <c r="I865" s="11"/>
    </row>
    <row r="866">
      <c r="E866" s="12"/>
      <c r="I866" s="11"/>
    </row>
    <row r="867">
      <c r="E867" s="12"/>
      <c r="I867" s="11"/>
    </row>
    <row r="868">
      <c r="E868" s="12"/>
      <c r="I868" s="11"/>
    </row>
    <row r="869">
      <c r="E869" s="12"/>
      <c r="I869" s="11"/>
    </row>
    <row r="870">
      <c r="E870" s="12"/>
      <c r="I870" s="11"/>
    </row>
    <row r="871">
      <c r="E871" s="12"/>
      <c r="I871" s="11"/>
    </row>
    <row r="872">
      <c r="E872" s="12"/>
      <c r="I872" s="11"/>
    </row>
    <row r="873">
      <c r="E873" s="12"/>
      <c r="I873" s="11"/>
    </row>
    <row r="874">
      <c r="E874" s="12"/>
      <c r="I874" s="11"/>
    </row>
    <row r="875">
      <c r="E875" s="12"/>
      <c r="I875" s="11"/>
    </row>
    <row r="876">
      <c r="E876" s="12"/>
      <c r="I876" s="11"/>
    </row>
    <row r="877">
      <c r="E877" s="12"/>
      <c r="I877" s="11"/>
    </row>
    <row r="878">
      <c r="E878" s="12"/>
      <c r="I878" s="11"/>
    </row>
    <row r="879">
      <c r="E879" s="12"/>
      <c r="I879" s="11"/>
    </row>
    <row r="880">
      <c r="E880" s="12"/>
      <c r="I880" s="11"/>
    </row>
    <row r="881">
      <c r="E881" s="12"/>
      <c r="I881" s="11"/>
    </row>
    <row r="882">
      <c r="E882" s="12"/>
      <c r="I882" s="11"/>
    </row>
    <row r="883">
      <c r="E883" s="12"/>
      <c r="I883" s="11"/>
    </row>
    <row r="884">
      <c r="E884" s="12"/>
      <c r="I884" s="11"/>
    </row>
    <row r="885">
      <c r="E885" s="12"/>
      <c r="I885" s="11"/>
    </row>
    <row r="886">
      <c r="E886" s="12"/>
      <c r="I886" s="11"/>
    </row>
    <row r="887">
      <c r="E887" s="12"/>
      <c r="I887" s="11"/>
    </row>
    <row r="888">
      <c r="E888" s="12"/>
      <c r="I888" s="11"/>
    </row>
    <row r="889">
      <c r="E889" s="12"/>
      <c r="I889" s="11"/>
    </row>
    <row r="890">
      <c r="E890" s="12"/>
      <c r="I890" s="11"/>
    </row>
    <row r="891">
      <c r="E891" s="12"/>
      <c r="I891" s="11"/>
    </row>
    <row r="892">
      <c r="E892" s="12"/>
      <c r="I892" s="11"/>
    </row>
    <row r="893">
      <c r="E893" s="12"/>
      <c r="I893" s="11"/>
    </row>
    <row r="894">
      <c r="E894" s="12"/>
      <c r="I894" s="11"/>
    </row>
    <row r="895">
      <c r="E895" s="12"/>
      <c r="I895" s="11"/>
    </row>
    <row r="896">
      <c r="E896" s="12"/>
      <c r="I896" s="11"/>
    </row>
    <row r="897">
      <c r="E897" s="12"/>
      <c r="I897" s="11"/>
    </row>
    <row r="898">
      <c r="E898" s="12"/>
      <c r="I898" s="11"/>
    </row>
    <row r="899">
      <c r="E899" s="12"/>
      <c r="I899" s="11"/>
    </row>
    <row r="900">
      <c r="E900" s="12"/>
      <c r="I900" s="11"/>
    </row>
    <row r="901">
      <c r="E901" s="12"/>
      <c r="I901" s="11"/>
    </row>
    <row r="902">
      <c r="E902" s="12"/>
      <c r="I902" s="11"/>
    </row>
    <row r="903">
      <c r="E903" s="12"/>
      <c r="I903" s="11"/>
    </row>
    <row r="904">
      <c r="E904" s="12"/>
      <c r="I904" s="11"/>
    </row>
    <row r="905">
      <c r="E905" s="12"/>
      <c r="I905" s="11"/>
    </row>
    <row r="906">
      <c r="E906" s="12"/>
      <c r="I906" s="11"/>
    </row>
    <row r="907">
      <c r="E907" s="12"/>
      <c r="I907" s="11"/>
    </row>
    <row r="908">
      <c r="E908" s="12"/>
      <c r="I908" s="11"/>
    </row>
    <row r="909">
      <c r="E909" s="12"/>
      <c r="I909" s="11"/>
    </row>
    <row r="910">
      <c r="E910" s="12"/>
      <c r="I910" s="11"/>
    </row>
    <row r="911">
      <c r="E911" s="12"/>
      <c r="I911" s="11"/>
    </row>
    <row r="912">
      <c r="E912" s="12"/>
      <c r="I912" s="11"/>
    </row>
    <row r="913">
      <c r="E913" s="12"/>
      <c r="I913" s="11"/>
    </row>
    <row r="914">
      <c r="E914" s="12"/>
      <c r="I914" s="11"/>
    </row>
    <row r="915">
      <c r="E915" s="12"/>
      <c r="I915" s="11"/>
    </row>
    <row r="916">
      <c r="E916" s="12"/>
      <c r="I916" s="11"/>
    </row>
    <row r="917">
      <c r="E917" s="12"/>
      <c r="I917" s="11"/>
    </row>
    <row r="918">
      <c r="E918" s="12"/>
      <c r="I918" s="11"/>
    </row>
    <row r="919">
      <c r="E919" s="12"/>
      <c r="I919" s="11"/>
    </row>
    <row r="920">
      <c r="E920" s="12"/>
      <c r="I920" s="11"/>
    </row>
    <row r="921">
      <c r="E921" s="12"/>
      <c r="I921" s="11"/>
    </row>
    <row r="922">
      <c r="E922" s="12"/>
      <c r="I922" s="11"/>
    </row>
    <row r="923">
      <c r="E923" s="12"/>
      <c r="I923" s="11"/>
    </row>
    <row r="924">
      <c r="E924" s="12"/>
      <c r="I924" s="11"/>
    </row>
    <row r="925">
      <c r="E925" s="12"/>
      <c r="I925" s="11"/>
    </row>
    <row r="926">
      <c r="E926" s="12"/>
      <c r="I926" s="11"/>
    </row>
    <row r="927">
      <c r="E927" s="12"/>
      <c r="I927" s="11"/>
    </row>
    <row r="928">
      <c r="E928" s="12"/>
      <c r="I928" s="11"/>
    </row>
    <row r="929">
      <c r="E929" s="12"/>
      <c r="I929" s="11"/>
    </row>
    <row r="930">
      <c r="E930" s="12"/>
      <c r="I930" s="11"/>
    </row>
    <row r="931">
      <c r="E931" s="12"/>
      <c r="I931" s="11"/>
    </row>
    <row r="932">
      <c r="E932" s="12"/>
      <c r="I932" s="11"/>
    </row>
    <row r="933">
      <c r="E933" s="12"/>
      <c r="I933" s="11"/>
    </row>
    <row r="934">
      <c r="E934" s="12"/>
      <c r="I934" s="11"/>
    </row>
    <row r="935">
      <c r="E935" s="12"/>
      <c r="I935" s="11"/>
    </row>
    <row r="936">
      <c r="E936" s="12"/>
      <c r="I936" s="11"/>
    </row>
    <row r="937">
      <c r="E937" s="12"/>
      <c r="I937" s="11"/>
    </row>
    <row r="938">
      <c r="E938" s="12"/>
      <c r="I938" s="11"/>
    </row>
    <row r="939">
      <c r="E939" s="12"/>
      <c r="I939" s="11"/>
    </row>
    <row r="940">
      <c r="E940" s="12"/>
      <c r="I940" s="11"/>
    </row>
    <row r="941">
      <c r="E941" s="12"/>
      <c r="I941" s="11"/>
    </row>
    <row r="942">
      <c r="E942" s="12"/>
      <c r="I942" s="11"/>
    </row>
    <row r="943">
      <c r="E943" s="12"/>
      <c r="I943" s="11"/>
    </row>
    <row r="944">
      <c r="E944" s="12"/>
      <c r="I944" s="11"/>
    </row>
    <row r="945">
      <c r="E945" s="12"/>
      <c r="I945" s="11"/>
    </row>
    <row r="946">
      <c r="E946" s="12"/>
      <c r="I946" s="11"/>
    </row>
    <row r="947">
      <c r="E947" s="12"/>
      <c r="I947" s="11"/>
    </row>
    <row r="948">
      <c r="E948" s="12"/>
      <c r="I948" s="11"/>
    </row>
    <row r="949">
      <c r="E949" s="12"/>
      <c r="I949" s="11"/>
    </row>
    <row r="950">
      <c r="E950" s="12"/>
      <c r="I950" s="11"/>
    </row>
    <row r="951">
      <c r="E951" s="12"/>
      <c r="I951" s="11"/>
    </row>
    <row r="952">
      <c r="E952" s="12"/>
      <c r="I952" s="11"/>
    </row>
    <row r="953">
      <c r="E953" s="12"/>
      <c r="I953" s="11"/>
    </row>
  </sheetData>
  <autoFilter ref="$A$2:$AC$76"/>
  <dataValidations>
    <dataValidation type="list" allowBlank="1" showErrorMessage="1" sqref="B3:B62">
      <formula1>'Departments and skills'!$U$4:$AH$4</formula1>
    </dataValidation>
    <dataValidation type="list" allowBlank="1" showErrorMessage="1" sqref="B63:B76">
      <formula1>'Departments and skills'!$T$4:$AH$4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48.5"/>
    <col customWidth="1" min="3" max="3" width="20.88"/>
    <col customWidth="1" min="4" max="4" width="24.0"/>
    <col customWidth="1" min="5" max="5" width="14.0"/>
    <col customWidth="1" min="6" max="6" width="19.13"/>
  </cols>
  <sheetData>
    <row r="1" ht="46.5" customHeight="1">
      <c r="A1" s="71" t="s">
        <v>341</v>
      </c>
      <c r="B1" s="72"/>
      <c r="C1" s="51"/>
      <c r="D1" s="7"/>
      <c r="E1" s="73"/>
      <c r="F1" s="73"/>
    </row>
    <row r="2">
      <c r="A2" s="74" t="s">
        <v>171</v>
      </c>
      <c r="B2" s="75" t="s">
        <v>342</v>
      </c>
      <c r="C2" s="76" t="s">
        <v>343</v>
      </c>
      <c r="D2" s="77" t="s">
        <v>344</v>
      </c>
      <c r="E2" s="78" t="s">
        <v>345</v>
      </c>
      <c r="F2" s="79" t="s">
        <v>346</v>
      </c>
    </row>
    <row r="3">
      <c r="A3" s="57">
        <f>1</f>
        <v>1</v>
      </c>
      <c r="B3" s="80" t="s">
        <v>179</v>
      </c>
      <c r="C3" s="58">
        <v>1.0</v>
      </c>
      <c r="D3" s="81">
        <v>62.5</v>
      </c>
      <c r="E3" s="81">
        <v>1.5</v>
      </c>
      <c r="F3" s="81">
        <v>4.0</v>
      </c>
      <c r="G3" s="82">
        <f t="shared" ref="G3:G76" si="1">E3*F3</f>
        <v>6</v>
      </c>
    </row>
    <row r="4">
      <c r="A4" s="57">
        <f t="shared" ref="A4:A10" si="2">A3+1</f>
        <v>2</v>
      </c>
      <c r="B4" s="83" t="s">
        <v>182</v>
      </c>
      <c r="C4" s="58">
        <v>1.0</v>
      </c>
      <c r="D4" s="84">
        <v>62.5</v>
      </c>
      <c r="E4" s="84">
        <v>4.0</v>
      </c>
      <c r="F4" s="84">
        <v>4.0</v>
      </c>
      <c r="G4" s="82">
        <f t="shared" si="1"/>
        <v>16</v>
      </c>
    </row>
    <row r="5">
      <c r="A5" s="57">
        <f t="shared" si="2"/>
        <v>3</v>
      </c>
      <c r="B5" s="83" t="s">
        <v>184</v>
      </c>
      <c r="C5" s="58">
        <v>10.0</v>
      </c>
      <c r="D5" s="84">
        <v>8.0</v>
      </c>
      <c r="E5" s="84">
        <v>5.0</v>
      </c>
      <c r="F5" s="84">
        <v>2.0</v>
      </c>
      <c r="G5" s="82">
        <f t="shared" si="1"/>
        <v>10</v>
      </c>
    </row>
    <row r="6">
      <c r="A6" s="57">
        <f t="shared" si="2"/>
        <v>4</v>
      </c>
      <c r="B6" s="83" t="s">
        <v>187</v>
      </c>
      <c r="C6" s="58">
        <v>9.0</v>
      </c>
      <c r="D6" s="84">
        <v>27.0</v>
      </c>
      <c r="E6" s="84">
        <v>6.0</v>
      </c>
      <c r="F6" s="84">
        <v>1.0</v>
      </c>
      <c r="G6" s="82">
        <f t="shared" si="1"/>
        <v>6</v>
      </c>
    </row>
    <row r="7">
      <c r="A7" s="57">
        <f t="shared" si="2"/>
        <v>5</v>
      </c>
      <c r="B7" s="83" t="s">
        <v>190</v>
      </c>
      <c r="C7" s="58">
        <v>19.0</v>
      </c>
      <c r="D7" s="84">
        <v>4.0</v>
      </c>
      <c r="E7" s="84">
        <v>5.0</v>
      </c>
      <c r="F7" s="84">
        <v>1.0</v>
      </c>
      <c r="G7" s="82">
        <f t="shared" si="1"/>
        <v>5</v>
      </c>
    </row>
    <row r="8">
      <c r="A8" s="57">
        <f t="shared" si="2"/>
        <v>6</v>
      </c>
      <c r="B8" s="83" t="s">
        <v>192</v>
      </c>
      <c r="C8" s="58">
        <v>18.0</v>
      </c>
      <c r="D8" s="84">
        <v>61.0</v>
      </c>
      <c r="E8" s="84">
        <v>5.5</v>
      </c>
      <c r="F8" s="84">
        <v>4.0</v>
      </c>
      <c r="G8" s="82">
        <f t="shared" si="1"/>
        <v>22</v>
      </c>
    </row>
    <row r="9">
      <c r="A9" s="57">
        <f t="shared" si="2"/>
        <v>7</v>
      </c>
      <c r="B9" s="83" t="s">
        <v>194</v>
      </c>
      <c r="C9" s="58" t="s">
        <v>196</v>
      </c>
      <c r="D9" s="84">
        <v>61.0</v>
      </c>
      <c r="E9" s="84">
        <v>1.0</v>
      </c>
      <c r="F9" s="84">
        <v>6.0</v>
      </c>
      <c r="G9" s="82">
        <f t="shared" si="1"/>
        <v>6</v>
      </c>
    </row>
    <row r="10">
      <c r="A10" s="57">
        <f t="shared" si="2"/>
        <v>8</v>
      </c>
      <c r="B10" s="83" t="s">
        <v>198</v>
      </c>
      <c r="C10" s="58">
        <v>18.0</v>
      </c>
      <c r="D10" s="84">
        <v>221.0</v>
      </c>
      <c r="E10" s="84">
        <v>8.5</v>
      </c>
      <c r="F10" s="84">
        <v>3.0</v>
      </c>
      <c r="G10" s="82">
        <f t="shared" si="1"/>
        <v>25.5</v>
      </c>
    </row>
    <row r="11">
      <c r="A11" s="57">
        <f>A9+1</f>
        <v>8</v>
      </c>
      <c r="B11" s="83" t="s">
        <v>200</v>
      </c>
      <c r="C11" s="58">
        <v>10.0</v>
      </c>
      <c r="D11" s="84">
        <v>5.0</v>
      </c>
      <c r="E11" s="84">
        <v>10.8</v>
      </c>
      <c r="F11" s="84">
        <v>2.0</v>
      </c>
      <c r="G11" s="82">
        <f t="shared" si="1"/>
        <v>21.6</v>
      </c>
    </row>
    <row r="12">
      <c r="A12" s="57">
        <f t="shared" ref="A12:A76" si="3">A11+1</f>
        <v>9</v>
      </c>
      <c r="B12" s="83" t="s">
        <v>202</v>
      </c>
      <c r="C12" s="58">
        <v>9.0</v>
      </c>
      <c r="D12" s="84">
        <v>44.0</v>
      </c>
      <c r="E12" s="84">
        <v>15.0</v>
      </c>
      <c r="F12" s="84">
        <v>2.0</v>
      </c>
      <c r="G12" s="82">
        <f t="shared" si="1"/>
        <v>30</v>
      </c>
    </row>
    <row r="13">
      <c r="A13" s="57">
        <f t="shared" si="3"/>
        <v>10</v>
      </c>
      <c r="B13" s="83" t="s">
        <v>204</v>
      </c>
      <c r="C13" s="58">
        <v>3.0</v>
      </c>
      <c r="D13" s="84">
        <v>45.5</v>
      </c>
      <c r="E13" s="84">
        <v>3.5</v>
      </c>
      <c r="F13" s="84">
        <v>4.0</v>
      </c>
      <c r="G13" s="82">
        <f t="shared" si="1"/>
        <v>14</v>
      </c>
    </row>
    <row r="14">
      <c r="A14" s="57">
        <f t="shared" si="3"/>
        <v>11</v>
      </c>
      <c r="B14" s="83" t="s">
        <v>205</v>
      </c>
      <c r="C14" s="58">
        <v>23.0</v>
      </c>
      <c r="D14" s="84">
        <v>45.6</v>
      </c>
      <c r="E14" s="84">
        <v>8.0</v>
      </c>
      <c r="F14" s="84">
        <v>4.0</v>
      </c>
      <c r="G14" s="82">
        <f t="shared" si="1"/>
        <v>32</v>
      </c>
    </row>
    <row r="15">
      <c r="A15" s="57">
        <f t="shared" si="3"/>
        <v>12</v>
      </c>
      <c r="B15" s="83" t="s">
        <v>207</v>
      </c>
      <c r="C15" s="58">
        <v>21.0</v>
      </c>
      <c r="D15" s="84">
        <v>37.0</v>
      </c>
      <c r="E15" s="84">
        <v>6.0</v>
      </c>
      <c r="F15" s="84">
        <v>1.0</v>
      </c>
      <c r="G15" s="82">
        <f t="shared" si="1"/>
        <v>6</v>
      </c>
    </row>
    <row r="16">
      <c r="A16" s="57">
        <f t="shared" si="3"/>
        <v>13</v>
      </c>
      <c r="B16" s="83" t="s">
        <v>209</v>
      </c>
      <c r="C16" s="58">
        <v>9.0</v>
      </c>
      <c r="D16" s="84">
        <v>44.0</v>
      </c>
      <c r="E16" s="84">
        <v>8.0</v>
      </c>
      <c r="F16" s="84">
        <v>2.0</v>
      </c>
      <c r="G16" s="82">
        <f t="shared" si="1"/>
        <v>16</v>
      </c>
    </row>
    <row r="17">
      <c r="A17" s="57">
        <f t="shared" si="3"/>
        <v>14</v>
      </c>
      <c r="B17" s="83" t="s">
        <v>211</v>
      </c>
      <c r="C17" s="58">
        <v>3.0</v>
      </c>
      <c r="D17" s="84">
        <v>720.0</v>
      </c>
      <c r="E17" s="84">
        <v>2.0</v>
      </c>
      <c r="F17" s="84">
        <v>2.0</v>
      </c>
      <c r="G17" s="82">
        <f t="shared" si="1"/>
        <v>4</v>
      </c>
    </row>
    <row r="18">
      <c r="A18" s="57">
        <f t="shared" si="3"/>
        <v>15</v>
      </c>
      <c r="B18" s="83" t="s">
        <v>214</v>
      </c>
      <c r="C18" s="58">
        <v>10.0</v>
      </c>
      <c r="D18" s="84">
        <v>7.0</v>
      </c>
      <c r="E18" s="84">
        <v>8.0</v>
      </c>
      <c r="F18" s="84">
        <v>2.0</v>
      </c>
      <c r="G18" s="82">
        <f t="shared" si="1"/>
        <v>16</v>
      </c>
    </row>
    <row r="19">
      <c r="A19" s="57">
        <f t="shared" si="3"/>
        <v>16</v>
      </c>
      <c r="B19" s="83" t="s">
        <v>216</v>
      </c>
      <c r="C19" s="58">
        <v>21.0</v>
      </c>
      <c r="D19" s="84">
        <v>105.0</v>
      </c>
      <c r="E19" s="84">
        <v>8.0</v>
      </c>
      <c r="F19" s="84">
        <v>3.0</v>
      </c>
      <c r="G19" s="82">
        <f t="shared" si="1"/>
        <v>24</v>
      </c>
    </row>
    <row r="20">
      <c r="A20" s="57">
        <f t="shared" si="3"/>
        <v>17</v>
      </c>
      <c r="B20" s="83" t="s">
        <v>218</v>
      </c>
      <c r="C20" s="58" t="s">
        <v>220</v>
      </c>
      <c r="D20" s="84">
        <v>30.0</v>
      </c>
      <c r="E20" s="84">
        <v>2.0</v>
      </c>
      <c r="F20" s="84">
        <v>3.0</v>
      </c>
      <c r="G20" s="82">
        <f t="shared" si="1"/>
        <v>6</v>
      </c>
    </row>
    <row r="21">
      <c r="A21" s="57">
        <f t="shared" si="3"/>
        <v>18</v>
      </c>
      <c r="B21" s="83" t="s">
        <v>221</v>
      </c>
      <c r="C21" s="58">
        <v>9.0</v>
      </c>
      <c r="D21" s="84">
        <v>44.0</v>
      </c>
      <c r="E21" s="84">
        <v>2.0</v>
      </c>
      <c r="F21" s="84">
        <v>1.0</v>
      </c>
      <c r="G21" s="82">
        <f t="shared" si="1"/>
        <v>2</v>
      </c>
    </row>
    <row r="22">
      <c r="A22" s="57">
        <f t="shared" si="3"/>
        <v>19</v>
      </c>
      <c r="B22" s="83" t="s">
        <v>223</v>
      </c>
      <c r="C22" s="58" t="s">
        <v>225</v>
      </c>
      <c r="D22" s="84">
        <v>128.0</v>
      </c>
      <c r="E22" s="84">
        <v>1.7</v>
      </c>
      <c r="F22" s="84">
        <v>3.0</v>
      </c>
      <c r="G22" s="82">
        <f t="shared" si="1"/>
        <v>5.1</v>
      </c>
    </row>
    <row r="23">
      <c r="A23" s="57">
        <f t="shared" si="3"/>
        <v>20</v>
      </c>
      <c r="B23" s="83" t="s">
        <v>226</v>
      </c>
      <c r="C23" s="58">
        <v>18.0</v>
      </c>
      <c r="D23" s="85">
        <v>130.0</v>
      </c>
      <c r="E23" s="84">
        <v>7.0</v>
      </c>
      <c r="F23" s="84">
        <v>2.0</v>
      </c>
      <c r="G23" s="82">
        <f t="shared" si="1"/>
        <v>14</v>
      </c>
    </row>
    <row r="24">
      <c r="A24" s="57">
        <f t="shared" si="3"/>
        <v>21</v>
      </c>
      <c r="B24" s="83" t="s">
        <v>229</v>
      </c>
      <c r="C24" s="58">
        <v>3.0</v>
      </c>
      <c r="D24" s="85">
        <v>700.0</v>
      </c>
      <c r="E24" s="84">
        <v>10.0</v>
      </c>
      <c r="F24" s="84">
        <v>2.0</v>
      </c>
      <c r="G24" s="82">
        <f t="shared" si="1"/>
        <v>20</v>
      </c>
    </row>
    <row r="25">
      <c r="A25" s="57">
        <f t="shared" si="3"/>
        <v>22</v>
      </c>
      <c r="B25" s="83" t="s">
        <v>231</v>
      </c>
      <c r="C25" s="58">
        <v>23.0</v>
      </c>
      <c r="D25" s="84">
        <v>730.0</v>
      </c>
      <c r="E25" s="84">
        <v>6.5</v>
      </c>
      <c r="F25" s="84">
        <v>4.0</v>
      </c>
      <c r="G25" s="82">
        <f t="shared" si="1"/>
        <v>26</v>
      </c>
    </row>
    <row r="26">
      <c r="A26" s="57">
        <f t="shared" si="3"/>
        <v>23</v>
      </c>
      <c r="B26" s="83" t="s">
        <v>233</v>
      </c>
      <c r="C26" s="58">
        <v>13.0</v>
      </c>
      <c r="D26" s="84">
        <v>49.0</v>
      </c>
      <c r="E26" s="84">
        <v>5.0</v>
      </c>
      <c r="F26" s="84">
        <v>2.0</v>
      </c>
      <c r="G26" s="82">
        <f t="shared" si="1"/>
        <v>10</v>
      </c>
    </row>
    <row r="27">
      <c r="A27" s="57">
        <f t="shared" si="3"/>
        <v>24</v>
      </c>
      <c r="B27" s="83" t="s">
        <v>347</v>
      </c>
      <c r="C27" s="58">
        <v>13.0</v>
      </c>
      <c r="D27" s="84">
        <v>49.0</v>
      </c>
      <c r="E27" s="84">
        <v>2.0</v>
      </c>
      <c r="F27" s="84">
        <v>2.0</v>
      </c>
      <c r="G27" s="82">
        <f t="shared" si="1"/>
        <v>4</v>
      </c>
    </row>
    <row r="28">
      <c r="A28" s="57">
        <f t="shared" si="3"/>
        <v>25</v>
      </c>
      <c r="B28" s="80" t="s">
        <v>235</v>
      </c>
      <c r="C28" s="58">
        <v>18.0</v>
      </c>
      <c r="D28" s="85">
        <v>130.0</v>
      </c>
      <c r="E28" s="84">
        <v>5.5</v>
      </c>
      <c r="F28" s="84">
        <v>6.0</v>
      </c>
      <c r="G28" s="82">
        <f t="shared" si="1"/>
        <v>33</v>
      </c>
    </row>
    <row r="29">
      <c r="A29" s="57">
        <f t="shared" si="3"/>
        <v>26</v>
      </c>
      <c r="B29" s="80" t="s">
        <v>236</v>
      </c>
      <c r="C29" s="57"/>
      <c r="D29" s="84"/>
      <c r="E29" s="84">
        <v>2.0</v>
      </c>
      <c r="F29" s="84"/>
      <c r="G29" s="82">
        <f t="shared" si="1"/>
        <v>0</v>
      </c>
    </row>
    <row r="30">
      <c r="A30" s="57">
        <f t="shared" si="3"/>
        <v>27</v>
      </c>
      <c r="B30" s="80" t="s">
        <v>237</v>
      </c>
      <c r="C30" s="58">
        <v>18.0</v>
      </c>
      <c r="D30" s="85">
        <v>130.0</v>
      </c>
      <c r="E30" s="84">
        <v>5.0</v>
      </c>
      <c r="F30" s="84">
        <v>6.0</v>
      </c>
      <c r="G30" s="82">
        <f t="shared" si="1"/>
        <v>30</v>
      </c>
    </row>
    <row r="31">
      <c r="A31" s="57">
        <f t="shared" si="3"/>
        <v>28</v>
      </c>
      <c r="B31" s="80" t="s">
        <v>238</v>
      </c>
      <c r="C31" s="57"/>
      <c r="D31" s="84"/>
      <c r="E31" s="84">
        <v>2.0</v>
      </c>
      <c r="F31" s="84"/>
      <c r="G31" s="82">
        <f t="shared" si="1"/>
        <v>0</v>
      </c>
    </row>
    <row r="32">
      <c r="A32" s="57">
        <f t="shared" si="3"/>
        <v>29</v>
      </c>
      <c r="B32" s="83" t="s">
        <v>239</v>
      </c>
      <c r="C32" s="58" t="s">
        <v>241</v>
      </c>
      <c r="D32" s="85" t="s">
        <v>348</v>
      </c>
      <c r="E32" s="84">
        <v>5.25</v>
      </c>
      <c r="F32" s="84">
        <v>2.0</v>
      </c>
      <c r="G32" s="82">
        <f t="shared" si="1"/>
        <v>10.5</v>
      </c>
    </row>
    <row r="33">
      <c r="A33" s="57">
        <f t="shared" si="3"/>
        <v>30</v>
      </c>
      <c r="B33" s="83" t="s">
        <v>242</v>
      </c>
      <c r="C33" s="58">
        <v>18.0</v>
      </c>
      <c r="D33" s="85">
        <v>130.0</v>
      </c>
      <c r="E33" s="84">
        <v>2.0</v>
      </c>
      <c r="F33" s="84">
        <v>2.0</v>
      </c>
      <c r="G33" s="82">
        <f t="shared" si="1"/>
        <v>4</v>
      </c>
    </row>
    <row r="34">
      <c r="A34" s="57">
        <f t="shared" si="3"/>
        <v>31</v>
      </c>
      <c r="B34" s="62" t="s">
        <v>23</v>
      </c>
      <c r="C34" s="58">
        <v>18.0</v>
      </c>
      <c r="D34" s="84">
        <v>220.0</v>
      </c>
      <c r="E34" s="84">
        <v>2.0</v>
      </c>
      <c r="F34" s="84">
        <v>2.0</v>
      </c>
      <c r="G34" s="82">
        <f t="shared" si="1"/>
        <v>4</v>
      </c>
    </row>
    <row r="35">
      <c r="A35" s="57">
        <f t="shared" si="3"/>
        <v>32</v>
      </c>
      <c r="B35" s="62" t="s">
        <v>245</v>
      </c>
      <c r="C35" s="66"/>
      <c r="D35" s="84"/>
      <c r="E35" s="84">
        <v>3.0</v>
      </c>
      <c r="F35" s="84"/>
      <c r="G35" s="82">
        <f t="shared" si="1"/>
        <v>0</v>
      </c>
    </row>
    <row r="36">
      <c r="A36" s="57">
        <f t="shared" si="3"/>
        <v>33</v>
      </c>
      <c r="B36" s="62" t="s">
        <v>247</v>
      </c>
      <c r="C36" s="58">
        <v>18.0</v>
      </c>
      <c r="D36" s="84">
        <v>220.0</v>
      </c>
      <c r="E36" s="84">
        <v>1.5</v>
      </c>
      <c r="F36" s="84">
        <v>1.0</v>
      </c>
      <c r="G36" s="82">
        <f t="shared" si="1"/>
        <v>1.5</v>
      </c>
    </row>
    <row r="37">
      <c r="A37" s="57">
        <f t="shared" si="3"/>
        <v>34</v>
      </c>
      <c r="B37" s="62" t="s">
        <v>249</v>
      </c>
      <c r="C37" s="66"/>
      <c r="D37" s="84">
        <v>220.0</v>
      </c>
      <c r="E37" s="84">
        <v>1.5</v>
      </c>
      <c r="F37" s="84">
        <v>1.0</v>
      </c>
      <c r="G37" s="82">
        <f t="shared" si="1"/>
        <v>1.5</v>
      </c>
    </row>
    <row r="38">
      <c r="A38" s="57">
        <f t="shared" si="3"/>
        <v>35</v>
      </c>
      <c r="B38" s="62" t="s">
        <v>251</v>
      </c>
      <c r="C38" s="58">
        <v>6.0</v>
      </c>
      <c r="D38" s="85">
        <v>5.0</v>
      </c>
      <c r="E38" s="85">
        <v>2.0</v>
      </c>
      <c r="F38" s="85">
        <v>3.0</v>
      </c>
      <c r="G38" s="82">
        <f t="shared" si="1"/>
        <v>6</v>
      </c>
    </row>
    <row r="39">
      <c r="A39" s="57">
        <f t="shared" si="3"/>
        <v>36</v>
      </c>
      <c r="B39" s="62" t="s">
        <v>253</v>
      </c>
      <c r="C39" s="58">
        <v>4.0</v>
      </c>
      <c r="D39" s="85">
        <v>41.0</v>
      </c>
      <c r="E39" s="84">
        <v>9.5</v>
      </c>
      <c r="F39" s="84">
        <v>2.0</v>
      </c>
      <c r="G39" s="82">
        <f t="shared" si="1"/>
        <v>19</v>
      </c>
    </row>
    <row r="40">
      <c r="A40" s="57">
        <f t="shared" si="3"/>
        <v>37</v>
      </c>
      <c r="B40" s="62" t="s">
        <v>255</v>
      </c>
      <c r="C40" s="58">
        <v>9.0</v>
      </c>
      <c r="D40" s="84">
        <v>14.0</v>
      </c>
      <c r="E40" s="84">
        <v>2.0</v>
      </c>
      <c r="F40" s="84">
        <v>1.0</v>
      </c>
      <c r="G40" s="82">
        <f t="shared" si="1"/>
        <v>2</v>
      </c>
    </row>
    <row r="41">
      <c r="A41" s="57">
        <f t="shared" si="3"/>
        <v>38</v>
      </c>
      <c r="B41" s="62" t="s">
        <v>257</v>
      </c>
      <c r="C41" s="58">
        <v>9.0</v>
      </c>
      <c r="D41" s="84">
        <v>14.0</v>
      </c>
      <c r="E41" s="84">
        <v>1.0</v>
      </c>
      <c r="F41" s="84">
        <v>1.0</v>
      </c>
      <c r="G41" s="82">
        <f t="shared" si="1"/>
        <v>1</v>
      </c>
    </row>
    <row r="42">
      <c r="A42" s="57">
        <f t="shared" si="3"/>
        <v>39</v>
      </c>
      <c r="B42" s="62" t="s">
        <v>259</v>
      </c>
      <c r="C42" s="58">
        <v>27.0</v>
      </c>
      <c r="D42" s="73"/>
      <c r="E42" s="84">
        <v>3.3</v>
      </c>
      <c r="F42" s="84">
        <v>4.0</v>
      </c>
      <c r="G42" s="82">
        <f t="shared" si="1"/>
        <v>13.2</v>
      </c>
    </row>
    <row r="43">
      <c r="A43" s="57">
        <f t="shared" si="3"/>
        <v>40</v>
      </c>
      <c r="B43" s="62" t="s">
        <v>349</v>
      </c>
      <c r="C43" s="58">
        <v>26.0</v>
      </c>
      <c r="D43" s="85">
        <v>77.0</v>
      </c>
      <c r="E43" s="84">
        <v>3.5</v>
      </c>
      <c r="F43" s="84">
        <v>5.0</v>
      </c>
      <c r="G43" s="82">
        <f t="shared" si="1"/>
        <v>17.5</v>
      </c>
    </row>
    <row r="44">
      <c r="A44" s="57">
        <f t="shared" si="3"/>
        <v>41</v>
      </c>
      <c r="B44" s="62" t="s">
        <v>264</v>
      </c>
      <c r="C44" s="58">
        <v>7.0</v>
      </c>
      <c r="D44" s="73"/>
      <c r="E44" s="84">
        <v>8.5</v>
      </c>
      <c r="F44" s="84">
        <v>1.0</v>
      </c>
      <c r="G44" s="82">
        <f t="shared" si="1"/>
        <v>8.5</v>
      </c>
    </row>
    <row r="45">
      <c r="A45" s="57">
        <f t="shared" si="3"/>
        <v>42</v>
      </c>
      <c r="B45" s="62" t="s">
        <v>266</v>
      </c>
      <c r="C45" s="58">
        <v>5.0</v>
      </c>
      <c r="D45" s="85">
        <v>4.0</v>
      </c>
      <c r="E45" s="85">
        <v>3.0</v>
      </c>
      <c r="F45" s="85">
        <v>1.0</v>
      </c>
      <c r="G45" s="82">
        <f t="shared" si="1"/>
        <v>3</v>
      </c>
    </row>
    <row r="46">
      <c r="A46" s="57">
        <f t="shared" si="3"/>
        <v>43</v>
      </c>
      <c r="B46" s="62" t="s">
        <v>268</v>
      </c>
      <c r="C46" s="58" t="s">
        <v>270</v>
      </c>
      <c r="D46" s="86" t="s">
        <v>350</v>
      </c>
      <c r="E46" s="85">
        <v>3.0</v>
      </c>
      <c r="F46" s="85">
        <v>2.0</v>
      </c>
      <c r="G46" s="82">
        <f t="shared" si="1"/>
        <v>6</v>
      </c>
    </row>
    <row r="47">
      <c r="A47" s="57">
        <f t="shared" si="3"/>
        <v>44</v>
      </c>
      <c r="B47" s="62" t="s">
        <v>271</v>
      </c>
      <c r="C47" s="58">
        <v>18.0</v>
      </c>
      <c r="D47" s="85">
        <v>130.0</v>
      </c>
      <c r="E47" s="85">
        <v>1.5</v>
      </c>
      <c r="F47" s="85">
        <v>1.0</v>
      </c>
      <c r="G47" s="82">
        <f t="shared" si="1"/>
        <v>1.5</v>
      </c>
    </row>
    <row r="48">
      <c r="A48" s="57">
        <f t="shared" si="3"/>
        <v>45</v>
      </c>
      <c r="B48" s="62" t="s">
        <v>275</v>
      </c>
      <c r="C48" s="58">
        <v>27.0</v>
      </c>
      <c r="D48" s="85">
        <v>693.0</v>
      </c>
      <c r="E48" s="85">
        <v>8.0</v>
      </c>
      <c r="F48" s="85">
        <v>3.0</v>
      </c>
      <c r="G48" s="82">
        <f t="shared" si="1"/>
        <v>24</v>
      </c>
    </row>
    <row r="49">
      <c r="A49" s="57">
        <f t="shared" si="3"/>
        <v>46</v>
      </c>
      <c r="B49" s="62" t="s">
        <v>277</v>
      </c>
      <c r="C49" s="58">
        <v>27.0</v>
      </c>
      <c r="D49" s="85">
        <v>693.0</v>
      </c>
      <c r="E49" s="84">
        <v>2.5</v>
      </c>
      <c r="F49" s="84">
        <v>1.0</v>
      </c>
      <c r="G49" s="82">
        <f t="shared" si="1"/>
        <v>2.5</v>
      </c>
    </row>
    <row r="50">
      <c r="A50" s="57">
        <f t="shared" si="3"/>
        <v>47</v>
      </c>
      <c r="B50" s="62" t="s">
        <v>280</v>
      </c>
      <c r="C50" s="58" t="s">
        <v>282</v>
      </c>
      <c r="D50" s="87">
        <v>46114.0</v>
      </c>
      <c r="E50" s="84">
        <v>5.5</v>
      </c>
      <c r="F50" s="84">
        <v>2.0</v>
      </c>
      <c r="G50" s="82">
        <f t="shared" si="1"/>
        <v>11</v>
      </c>
    </row>
    <row r="51">
      <c r="A51" s="57">
        <f t="shared" si="3"/>
        <v>48</v>
      </c>
      <c r="B51" s="62" t="s">
        <v>283</v>
      </c>
      <c r="C51" s="58">
        <v>5.0</v>
      </c>
      <c r="D51" s="85">
        <v>2.0</v>
      </c>
      <c r="E51" s="85">
        <v>1.5</v>
      </c>
      <c r="F51" s="85">
        <v>2.0</v>
      </c>
      <c r="G51" s="82">
        <f t="shared" si="1"/>
        <v>3</v>
      </c>
    </row>
    <row r="52">
      <c r="A52" s="57">
        <f t="shared" si="3"/>
        <v>49</v>
      </c>
      <c r="B52" s="62" t="s">
        <v>286</v>
      </c>
      <c r="C52" s="58">
        <v>25.0</v>
      </c>
      <c r="D52" s="85">
        <v>700.0</v>
      </c>
      <c r="E52" s="84">
        <v>6.0</v>
      </c>
      <c r="F52" s="84">
        <v>6.0</v>
      </c>
      <c r="G52" s="82">
        <f t="shared" si="1"/>
        <v>36</v>
      </c>
    </row>
    <row r="53">
      <c r="A53" s="57">
        <f t="shared" si="3"/>
        <v>50</v>
      </c>
      <c r="B53" s="62" t="s">
        <v>288</v>
      </c>
      <c r="C53" s="58">
        <v>10.0</v>
      </c>
      <c r="D53" s="84">
        <v>8.0</v>
      </c>
      <c r="E53" s="84">
        <v>2.0</v>
      </c>
      <c r="F53" s="84">
        <v>2.0</v>
      </c>
      <c r="G53" s="82">
        <f t="shared" si="1"/>
        <v>4</v>
      </c>
    </row>
    <row r="54">
      <c r="A54" s="57">
        <f t="shared" si="3"/>
        <v>51</v>
      </c>
      <c r="B54" s="62" t="s">
        <v>290</v>
      </c>
      <c r="C54" s="58">
        <v>1.0</v>
      </c>
      <c r="D54" s="84">
        <v>65.0</v>
      </c>
      <c r="E54" s="84">
        <v>5.0</v>
      </c>
      <c r="F54" s="84">
        <v>2.0</v>
      </c>
      <c r="G54" s="82">
        <f t="shared" si="1"/>
        <v>10</v>
      </c>
    </row>
    <row r="55">
      <c r="A55" s="57">
        <f t="shared" si="3"/>
        <v>52</v>
      </c>
      <c r="B55" s="62" t="s">
        <v>292</v>
      </c>
      <c r="C55" s="58">
        <v>8.0</v>
      </c>
      <c r="D55" s="85">
        <v>100.0</v>
      </c>
      <c r="E55" s="85">
        <v>3.0</v>
      </c>
      <c r="F55" s="85">
        <v>2.0</v>
      </c>
      <c r="G55" s="82">
        <f t="shared" si="1"/>
        <v>6</v>
      </c>
    </row>
    <row r="56">
      <c r="A56" s="57">
        <f t="shared" si="3"/>
        <v>53</v>
      </c>
      <c r="B56" s="62" t="s">
        <v>294</v>
      </c>
      <c r="C56" s="58">
        <v>4.0</v>
      </c>
      <c r="D56" s="85">
        <v>41.0</v>
      </c>
      <c r="E56" s="85">
        <v>1.5</v>
      </c>
      <c r="F56" s="85">
        <v>1.0</v>
      </c>
      <c r="G56" s="82">
        <f t="shared" si="1"/>
        <v>1.5</v>
      </c>
    </row>
    <row r="57">
      <c r="A57" s="57">
        <f t="shared" si="3"/>
        <v>54</v>
      </c>
      <c r="B57" s="62" t="s">
        <v>296</v>
      </c>
      <c r="C57" s="58">
        <v>3.0</v>
      </c>
      <c r="D57" s="85">
        <v>693.0</v>
      </c>
      <c r="E57" s="85">
        <v>1.5</v>
      </c>
      <c r="F57" s="85">
        <v>2.0</v>
      </c>
      <c r="G57" s="82">
        <f t="shared" si="1"/>
        <v>3</v>
      </c>
    </row>
    <row r="58">
      <c r="A58" s="57">
        <f t="shared" si="3"/>
        <v>55</v>
      </c>
      <c r="B58" s="62" t="s">
        <v>298</v>
      </c>
      <c r="C58" s="58">
        <v>10.0</v>
      </c>
      <c r="D58" s="85">
        <v>6.0</v>
      </c>
      <c r="E58" s="85">
        <v>3.0</v>
      </c>
      <c r="F58" s="85">
        <v>1.0</v>
      </c>
      <c r="G58" s="82">
        <f t="shared" si="1"/>
        <v>3</v>
      </c>
    </row>
    <row r="59">
      <c r="A59" s="57">
        <f t="shared" si="3"/>
        <v>56</v>
      </c>
      <c r="B59" s="62" t="s">
        <v>300</v>
      </c>
      <c r="C59" s="58">
        <v>10.0</v>
      </c>
      <c r="D59" s="85">
        <v>6.0</v>
      </c>
      <c r="E59" s="85">
        <v>3.0</v>
      </c>
      <c r="F59" s="85">
        <v>1.0</v>
      </c>
      <c r="G59" s="82">
        <f t="shared" si="1"/>
        <v>3</v>
      </c>
    </row>
    <row r="60">
      <c r="A60" s="57">
        <f t="shared" si="3"/>
        <v>57</v>
      </c>
      <c r="B60" s="62" t="s">
        <v>302</v>
      </c>
      <c r="C60" s="58">
        <v>1.0</v>
      </c>
      <c r="D60" s="84">
        <v>65.0</v>
      </c>
      <c r="E60" s="84">
        <v>4.0</v>
      </c>
      <c r="F60" s="84">
        <v>2.0</v>
      </c>
      <c r="G60" s="82">
        <f t="shared" si="1"/>
        <v>8</v>
      </c>
    </row>
    <row r="61">
      <c r="A61" s="57">
        <f t="shared" si="3"/>
        <v>58</v>
      </c>
      <c r="B61" s="62" t="s">
        <v>304</v>
      </c>
      <c r="C61" s="58">
        <v>1.0</v>
      </c>
      <c r="D61" s="85">
        <v>49.0</v>
      </c>
      <c r="E61" s="85">
        <v>2.0</v>
      </c>
      <c r="F61" s="85">
        <v>3.0</v>
      </c>
      <c r="G61" s="82">
        <f t="shared" si="1"/>
        <v>6</v>
      </c>
    </row>
    <row r="62">
      <c r="A62" s="57">
        <f t="shared" si="3"/>
        <v>59</v>
      </c>
      <c r="B62" s="62" t="s">
        <v>305</v>
      </c>
      <c r="C62" s="58">
        <v>3.0</v>
      </c>
      <c r="D62" s="84">
        <v>800.0</v>
      </c>
      <c r="E62" s="84">
        <v>2.0</v>
      </c>
      <c r="F62" s="84">
        <v>1.0</v>
      </c>
      <c r="G62" s="82">
        <f t="shared" si="1"/>
        <v>2</v>
      </c>
    </row>
    <row r="63">
      <c r="A63" s="57">
        <f t="shared" si="3"/>
        <v>60</v>
      </c>
      <c r="B63" s="68" t="s">
        <v>308</v>
      </c>
      <c r="C63" s="3">
        <v>1.0</v>
      </c>
      <c r="D63" s="88"/>
      <c r="E63" s="85"/>
      <c r="F63" s="85"/>
      <c r="G63" s="82">
        <f t="shared" si="1"/>
        <v>0</v>
      </c>
    </row>
    <row r="64">
      <c r="A64" s="57">
        <f t="shared" si="3"/>
        <v>61</v>
      </c>
      <c r="B64" s="68" t="s">
        <v>311</v>
      </c>
      <c r="C64" s="3">
        <v>18.0</v>
      </c>
      <c r="D64" s="88"/>
      <c r="E64" s="85"/>
      <c r="F64" s="85"/>
      <c r="G64" s="82">
        <f t="shared" si="1"/>
        <v>0</v>
      </c>
    </row>
    <row r="65">
      <c r="A65" s="57">
        <f t="shared" si="3"/>
        <v>62</v>
      </c>
      <c r="B65" s="68" t="s">
        <v>313</v>
      </c>
      <c r="C65" s="3">
        <v>18.0</v>
      </c>
      <c r="D65" s="88"/>
      <c r="E65" s="88"/>
      <c r="F65" s="88"/>
      <c r="G65" s="82">
        <f t="shared" si="1"/>
        <v>0</v>
      </c>
    </row>
    <row r="66">
      <c r="A66" s="57">
        <f t="shared" si="3"/>
        <v>63</v>
      </c>
      <c r="B66" s="68" t="s">
        <v>315</v>
      </c>
      <c r="C66" s="3">
        <v>3.0</v>
      </c>
      <c r="D66" s="88"/>
      <c r="E66" s="85"/>
      <c r="F66" s="85"/>
      <c r="G66" s="82">
        <f t="shared" si="1"/>
        <v>0</v>
      </c>
    </row>
    <row r="67">
      <c r="A67" s="57">
        <f t="shared" si="3"/>
        <v>64</v>
      </c>
      <c r="B67" s="68" t="s">
        <v>317</v>
      </c>
      <c r="C67" s="3">
        <v>3.0</v>
      </c>
      <c r="D67" s="88"/>
      <c r="E67" s="88"/>
      <c r="F67" s="88"/>
      <c r="G67" s="82">
        <f t="shared" si="1"/>
        <v>0</v>
      </c>
    </row>
    <row r="68">
      <c r="A68" s="57">
        <f t="shared" si="3"/>
        <v>65</v>
      </c>
      <c r="B68" s="68" t="s">
        <v>319</v>
      </c>
      <c r="C68" s="3">
        <v>18.0</v>
      </c>
      <c r="D68" s="88"/>
      <c r="E68" s="88"/>
      <c r="F68" s="88"/>
      <c r="G68" s="82">
        <f t="shared" si="1"/>
        <v>0</v>
      </c>
    </row>
    <row r="69">
      <c r="A69" s="57">
        <f t="shared" si="3"/>
        <v>66</v>
      </c>
      <c r="B69" s="68" t="s">
        <v>321</v>
      </c>
      <c r="C69" s="3" t="s">
        <v>241</v>
      </c>
      <c r="D69" s="88"/>
      <c r="E69" s="85"/>
      <c r="F69" s="88"/>
      <c r="G69" s="82">
        <f t="shared" si="1"/>
        <v>0</v>
      </c>
    </row>
    <row r="70">
      <c r="A70" s="57">
        <f t="shared" si="3"/>
        <v>67</v>
      </c>
      <c r="B70" s="68" t="s">
        <v>324</v>
      </c>
      <c r="C70" s="3" t="s">
        <v>326</v>
      </c>
      <c r="D70" s="88"/>
      <c r="E70" s="85"/>
      <c r="F70" s="85"/>
      <c r="G70" s="82">
        <f t="shared" si="1"/>
        <v>0</v>
      </c>
    </row>
    <row r="71">
      <c r="A71" s="57">
        <f t="shared" si="3"/>
        <v>68</v>
      </c>
      <c r="B71" s="68" t="s">
        <v>327</v>
      </c>
      <c r="C71" s="3">
        <v>6.0</v>
      </c>
      <c r="D71" s="88"/>
      <c r="E71" s="88"/>
      <c r="F71" s="88"/>
      <c r="G71" s="82">
        <f t="shared" si="1"/>
        <v>0</v>
      </c>
    </row>
    <row r="72">
      <c r="A72" s="57">
        <f t="shared" si="3"/>
        <v>69</v>
      </c>
      <c r="B72" s="68" t="s">
        <v>330</v>
      </c>
      <c r="C72" s="3">
        <v>5.0</v>
      </c>
      <c r="D72" s="85"/>
      <c r="E72" s="85"/>
      <c r="F72" s="85"/>
      <c r="G72" s="82">
        <f t="shared" si="1"/>
        <v>0</v>
      </c>
    </row>
    <row r="73">
      <c r="A73" s="57">
        <f t="shared" si="3"/>
        <v>70</v>
      </c>
      <c r="B73" s="68" t="s">
        <v>332</v>
      </c>
      <c r="C73" s="3">
        <v>5.0</v>
      </c>
      <c r="D73" s="88"/>
      <c r="E73" s="88"/>
      <c r="F73" s="88"/>
      <c r="G73" s="82">
        <f t="shared" si="1"/>
        <v>0</v>
      </c>
    </row>
    <row r="74">
      <c r="A74" s="57">
        <f t="shared" si="3"/>
        <v>71</v>
      </c>
      <c r="B74" s="68" t="s">
        <v>334</v>
      </c>
      <c r="C74" s="3">
        <v>28.0</v>
      </c>
      <c r="D74" s="88"/>
      <c r="E74" s="88"/>
      <c r="F74" s="88"/>
      <c r="G74" s="82">
        <f t="shared" si="1"/>
        <v>0</v>
      </c>
    </row>
    <row r="75">
      <c r="A75" s="57">
        <f t="shared" si="3"/>
        <v>72</v>
      </c>
      <c r="B75" s="68" t="s">
        <v>337</v>
      </c>
      <c r="C75" s="3">
        <v>1.0</v>
      </c>
      <c r="D75" s="88"/>
      <c r="E75" s="85"/>
      <c r="F75" s="85"/>
      <c r="G75" s="82">
        <f t="shared" si="1"/>
        <v>0</v>
      </c>
    </row>
    <row r="76">
      <c r="A76" s="57">
        <f t="shared" si="3"/>
        <v>73</v>
      </c>
      <c r="B76" s="68" t="s">
        <v>339</v>
      </c>
      <c r="C76" s="3">
        <v>6.0</v>
      </c>
      <c r="D76" s="85"/>
      <c r="E76" s="85"/>
      <c r="F76" s="85"/>
      <c r="G76" s="82">
        <f t="shared" si="1"/>
        <v>0</v>
      </c>
    </row>
    <row r="77">
      <c r="A77" s="7"/>
      <c r="B77" s="7"/>
      <c r="C77" s="7"/>
      <c r="D77" s="7"/>
      <c r="E77" s="73"/>
      <c r="F77" s="73"/>
    </row>
    <row r="78">
      <c r="A78" s="7"/>
      <c r="B78" s="7"/>
      <c r="C78" s="7"/>
      <c r="D78" s="7"/>
      <c r="E78" s="73"/>
      <c r="F78" s="73"/>
    </row>
    <row r="79">
      <c r="A79" s="7"/>
      <c r="B79" s="7"/>
      <c r="C79" s="7"/>
      <c r="D79" s="7"/>
      <c r="E79" s="73"/>
      <c r="F79" s="73"/>
    </row>
    <row r="80">
      <c r="A80" s="7"/>
      <c r="B80" s="7"/>
      <c r="C80" s="7"/>
      <c r="D80" s="7"/>
      <c r="E80" s="73"/>
      <c r="F80" s="73"/>
    </row>
    <row r="81">
      <c r="A81" s="7"/>
      <c r="B81" s="7"/>
      <c r="C81" s="7"/>
      <c r="D81" s="7"/>
      <c r="E81" s="73"/>
      <c r="F81" s="73"/>
    </row>
    <row r="82">
      <c r="A82" s="7"/>
      <c r="B82" s="7"/>
      <c r="C82" s="7"/>
      <c r="D82" s="7"/>
      <c r="E82" s="73"/>
      <c r="F82" s="73"/>
    </row>
    <row r="83">
      <c r="A83" s="7"/>
      <c r="B83" s="7"/>
      <c r="C83" s="7"/>
      <c r="D83" s="7"/>
      <c r="E83" s="73"/>
      <c r="F83" s="73"/>
    </row>
    <row r="84">
      <c r="A84" s="7"/>
      <c r="B84" s="7"/>
      <c r="C84" s="7"/>
      <c r="D84" s="7"/>
      <c r="E84" s="73"/>
      <c r="F84" s="73"/>
    </row>
    <row r="85">
      <c r="A85" s="7"/>
      <c r="B85" s="7"/>
      <c r="C85" s="7"/>
      <c r="D85" s="7"/>
      <c r="E85" s="73"/>
      <c r="F85" s="73"/>
    </row>
    <row r="86">
      <c r="A86" s="7"/>
      <c r="B86" s="7"/>
      <c r="C86" s="7"/>
      <c r="D86" s="7"/>
      <c r="E86" s="73"/>
      <c r="F86" s="73"/>
    </row>
    <row r="87">
      <c r="A87" s="7"/>
      <c r="B87" s="7"/>
      <c r="C87" s="7"/>
      <c r="D87" s="7"/>
      <c r="E87" s="73"/>
      <c r="F87" s="73"/>
    </row>
    <row r="88">
      <c r="A88" s="7"/>
      <c r="B88" s="7"/>
      <c r="C88" s="7"/>
      <c r="D88" s="7"/>
      <c r="E88" s="73"/>
      <c r="F88" s="73"/>
    </row>
    <row r="89">
      <c r="A89" s="7"/>
      <c r="B89" s="7"/>
      <c r="C89" s="7"/>
      <c r="D89" s="7"/>
      <c r="E89" s="73"/>
      <c r="F89" s="73"/>
    </row>
    <row r="90">
      <c r="A90" s="7"/>
      <c r="B90" s="7"/>
      <c r="C90" s="7"/>
      <c r="D90" s="7"/>
      <c r="E90" s="73"/>
      <c r="F90" s="73"/>
    </row>
    <row r="91">
      <c r="A91" s="7"/>
      <c r="B91" s="7"/>
      <c r="C91" s="7"/>
      <c r="D91" s="7"/>
      <c r="E91" s="73"/>
      <c r="F91" s="73"/>
    </row>
    <row r="92">
      <c r="A92" s="7"/>
      <c r="B92" s="7"/>
      <c r="C92" s="7"/>
      <c r="D92" s="7"/>
      <c r="E92" s="73"/>
      <c r="F92" s="73"/>
    </row>
    <row r="93">
      <c r="A93" s="7"/>
      <c r="B93" s="7"/>
      <c r="C93" s="7"/>
      <c r="D93" s="7"/>
      <c r="E93" s="73"/>
      <c r="F93" s="73"/>
    </row>
    <row r="94">
      <c r="A94" s="7"/>
      <c r="B94" s="7"/>
      <c r="C94" s="7"/>
      <c r="D94" s="7"/>
      <c r="E94" s="73"/>
      <c r="F94" s="73"/>
    </row>
    <row r="95">
      <c r="A95" s="7"/>
      <c r="B95" s="7"/>
      <c r="C95" s="7"/>
      <c r="D95" s="7"/>
      <c r="E95" s="73"/>
      <c r="F95" s="73"/>
    </row>
    <row r="96">
      <c r="A96" s="7"/>
      <c r="B96" s="7"/>
      <c r="C96" s="7"/>
      <c r="D96" s="7"/>
      <c r="E96" s="73"/>
      <c r="F96" s="73"/>
    </row>
    <row r="97">
      <c r="A97" s="7"/>
      <c r="B97" s="7"/>
      <c r="C97" s="7"/>
      <c r="D97" s="7"/>
      <c r="E97" s="73"/>
      <c r="F97" s="73"/>
    </row>
    <row r="98">
      <c r="A98" s="7"/>
      <c r="B98" s="7"/>
      <c r="C98" s="7"/>
      <c r="D98" s="7"/>
      <c r="E98" s="73"/>
      <c r="F98" s="73"/>
    </row>
    <row r="99">
      <c r="A99" s="7"/>
      <c r="B99" s="7"/>
      <c r="C99" s="7"/>
      <c r="D99" s="7"/>
      <c r="E99" s="73"/>
      <c r="F99" s="73"/>
    </row>
    <row r="100">
      <c r="A100" s="7"/>
      <c r="B100" s="7"/>
      <c r="C100" s="7"/>
      <c r="D100" s="7"/>
      <c r="E100" s="73"/>
      <c r="F100" s="73"/>
    </row>
    <row r="101">
      <c r="A101" s="7"/>
      <c r="B101" s="7"/>
      <c r="C101" s="7"/>
      <c r="D101" s="7"/>
      <c r="E101" s="73"/>
      <c r="F101" s="73"/>
    </row>
    <row r="102">
      <c r="A102" s="7"/>
      <c r="B102" s="7"/>
      <c r="C102" s="7"/>
      <c r="D102" s="7"/>
      <c r="E102" s="73"/>
      <c r="F102" s="73"/>
    </row>
    <row r="103">
      <c r="A103" s="7"/>
      <c r="B103" s="7"/>
      <c r="C103" s="7"/>
      <c r="D103" s="7"/>
      <c r="E103" s="73"/>
      <c r="F103" s="73"/>
    </row>
    <row r="104">
      <c r="A104" s="7"/>
      <c r="B104" s="7"/>
      <c r="C104" s="7"/>
      <c r="D104" s="7"/>
      <c r="E104" s="73"/>
      <c r="F104" s="73"/>
    </row>
    <row r="105">
      <c r="A105" s="7"/>
      <c r="B105" s="7"/>
      <c r="C105" s="7"/>
      <c r="D105" s="7"/>
      <c r="E105" s="73"/>
      <c r="F105" s="73"/>
    </row>
    <row r="106">
      <c r="A106" s="7"/>
      <c r="B106" s="7"/>
      <c r="C106" s="7"/>
      <c r="D106" s="7"/>
      <c r="E106" s="73"/>
      <c r="F106" s="73"/>
    </row>
    <row r="107">
      <c r="A107" s="7"/>
      <c r="B107" s="7"/>
      <c r="C107" s="7"/>
      <c r="D107" s="7"/>
      <c r="E107" s="73"/>
      <c r="F107" s="73"/>
    </row>
    <row r="108">
      <c r="A108" s="7"/>
      <c r="B108" s="7"/>
      <c r="C108" s="7"/>
      <c r="D108" s="7"/>
      <c r="E108" s="73"/>
      <c r="F108" s="73"/>
    </row>
    <row r="109">
      <c r="A109" s="7"/>
      <c r="B109" s="7"/>
      <c r="C109" s="7"/>
      <c r="D109" s="7"/>
      <c r="E109" s="73"/>
      <c r="F109" s="73"/>
    </row>
    <row r="110">
      <c r="A110" s="7"/>
      <c r="B110" s="7"/>
      <c r="C110" s="7"/>
      <c r="D110" s="7"/>
      <c r="E110" s="73"/>
      <c r="F110" s="73"/>
    </row>
    <row r="111">
      <c r="A111" s="7"/>
      <c r="B111" s="7"/>
      <c r="C111" s="7"/>
      <c r="D111" s="7"/>
      <c r="E111" s="73"/>
      <c r="F111" s="73"/>
    </row>
    <row r="112">
      <c r="A112" s="7"/>
      <c r="B112" s="7"/>
      <c r="C112" s="7"/>
      <c r="D112" s="7"/>
      <c r="E112" s="73"/>
      <c r="F112" s="73"/>
    </row>
    <row r="113">
      <c r="A113" s="7"/>
      <c r="B113" s="7"/>
      <c r="C113" s="7"/>
      <c r="D113" s="7"/>
      <c r="E113" s="73"/>
      <c r="F113" s="73"/>
    </row>
    <row r="114">
      <c r="A114" s="7"/>
      <c r="B114" s="7"/>
      <c r="C114" s="7"/>
      <c r="D114" s="7"/>
      <c r="E114" s="73"/>
      <c r="F114" s="73"/>
    </row>
    <row r="115">
      <c r="A115" s="7"/>
      <c r="B115" s="7"/>
      <c r="C115" s="7"/>
      <c r="D115" s="7"/>
      <c r="E115" s="73"/>
      <c r="F115" s="73"/>
    </row>
    <row r="116">
      <c r="A116" s="7"/>
      <c r="B116" s="7"/>
      <c r="C116" s="7"/>
      <c r="D116" s="7"/>
      <c r="E116" s="73"/>
      <c r="F116" s="73"/>
    </row>
    <row r="117">
      <c r="A117" s="7"/>
      <c r="B117" s="7"/>
      <c r="C117" s="7"/>
      <c r="D117" s="7"/>
      <c r="E117" s="73"/>
      <c r="F117" s="73"/>
    </row>
    <row r="118">
      <c r="A118" s="7"/>
      <c r="B118" s="7"/>
      <c r="C118" s="7"/>
      <c r="D118" s="7"/>
      <c r="E118" s="73"/>
      <c r="F118" s="73"/>
    </row>
    <row r="119">
      <c r="A119" s="7"/>
      <c r="B119" s="7"/>
      <c r="C119" s="7"/>
      <c r="D119" s="7"/>
      <c r="E119" s="73"/>
      <c r="F119" s="73"/>
    </row>
    <row r="120">
      <c r="A120" s="7"/>
      <c r="B120" s="7"/>
      <c r="C120" s="7"/>
      <c r="D120" s="7"/>
      <c r="E120" s="73"/>
      <c r="F120" s="73"/>
    </row>
    <row r="121">
      <c r="A121" s="7"/>
      <c r="B121" s="7"/>
      <c r="C121" s="7"/>
      <c r="D121" s="7"/>
      <c r="E121" s="73"/>
      <c r="F121" s="73"/>
    </row>
    <row r="122">
      <c r="A122" s="7"/>
      <c r="B122" s="7"/>
      <c r="C122" s="7"/>
      <c r="D122" s="7"/>
      <c r="E122" s="73"/>
      <c r="F122" s="73"/>
    </row>
    <row r="123">
      <c r="A123" s="7"/>
      <c r="B123" s="7"/>
      <c r="C123" s="7"/>
      <c r="D123" s="7"/>
      <c r="E123" s="73"/>
      <c r="F123" s="73"/>
    </row>
    <row r="124">
      <c r="A124" s="7"/>
      <c r="B124" s="7"/>
      <c r="C124" s="7"/>
      <c r="D124" s="7"/>
      <c r="E124" s="73"/>
      <c r="F124" s="73"/>
    </row>
    <row r="125">
      <c r="A125" s="7"/>
      <c r="B125" s="7"/>
      <c r="C125" s="7"/>
      <c r="D125" s="7"/>
      <c r="E125" s="73"/>
      <c r="F125" s="73"/>
    </row>
    <row r="126">
      <c r="A126" s="7"/>
      <c r="B126" s="7"/>
      <c r="C126" s="7"/>
      <c r="D126" s="7"/>
      <c r="E126" s="73"/>
      <c r="F126" s="73"/>
    </row>
    <row r="127">
      <c r="A127" s="7"/>
      <c r="B127" s="7"/>
      <c r="C127" s="7"/>
      <c r="D127" s="7"/>
      <c r="E127" s="73"/>
      <c r="F127" s="73"/>
    </row>
    <row r="128">
      <c r="A128" s="7"/>
      <c r="B128" s="7"/>
      <c r="C128" s="7"/>
      <c r="D128" s="7"/>
      <c r="E128" s="73"/>
      <c r="F128" s="73"/>
    </row>
    <row r="129">
      <c r="A129" s="7"/>
      <c r="B129" s="7"/>
      <c r="C129" s="7"/>
      <c r="D129" s="7"/>
      <c r="E129" s="73"/>
      <c r="F129" s="73"/>
    </row>
    <row r="130">
      <c r="A130" s="89"/>
      <c r="B130" s="89"/>
      <c r="D130" s="89"/>
      <c r="E130" s="90"/>
      <c r="F130" s="90"/>
    </row>
    <row r="131">
      <c r="A131" s="89"/>
      <c r="B131" s="89"/>
      <c r="D131" s="89"/>
      <c r="E131" s="90"/>
      <c r="F131" s="90"/>
    </row>
    <row r="132">
      <c r="A132" s="89"/>
      <c r="B132" s="89"/>
      <c r="D132" s="89"/>
      <c r="E132" s="90"/>
      <c r="F132" s="90"/>
    </row>
    <row r="133">
      <c r="A133" s="89"/>
      <c r="B133" s="89"/>
      <c r="D133" s="89"/>
      <c r="E133" s="90"/>
      <c r="F133" s="90"/>
    </row>
    <row r="134">
      <c r="A134" s="89"/>
      <c r="B134" s="89"/>
      <c r="D134" s="89"/>
      <c r="E134" s="90"/>
      <c r="F134" s="90"/>
    </row>
    <row r="135">
      <c r="A135" s="89"/>
      <c r="B135" s="89"/>
      <c r="D135" s="89"/>
      <c r="E135" s="90"/>
      <c r="F135" s="90"/>
    </row>
    <row r="136">
      <c r="A136" s="89"/>
      <c r="B136" s="89"/>
      <c r="D136" s="89"/>
      <c r="E136" s="90"/>
      <c r="F136" s="90"/>
    </row>
    <row r="137">
      <c r="A137" s="89"/>
      <c r="B137" s="89"/>
      <c r="D137" s="89"/>
      <c r="E137" s="90"/>
      <c r="F137" s="90"/>
    </row>
    <row r="138">
      <c r="A138" s="89"/>
      <c r="B138" s="89"/>
      <c r="D138" s="89"/>
      <c r="E138" s="90"/>
      <c r="F138" s="90"/>
    </row>
    <row r="139">
      <c r="A139" s="89"/>
      <c r="B139" s="89"/>
      <c r="D139" s="89"/>
      <c r="E139" s="90"/>
      <c r="F139" s="90"/>
    </row>
    <row r="140">
      <c r="A140" s="89"/>
      <c r="B140" s="89"/>
      <c r="D140" s="89"/>
      <c r="E140" s="90"/>
      <c r="F140" s="90"/>
    </row>
    <row r="141">
      <c r="A141" s="89"/>
      <c r="B141" s="89"/>
      <c r="D141" s="89"/>
      <c r="E141" s="90"/>
      <c r="F141" s="90"/>
    </row>
    <row r="142">
      <c r="A142" s="89"/>
      <c r="B142" s="89"/>
      <c r="D142" s="89"/>
      <c r="E142" s="90"/>
      <c r="F142" s="90"/>
    </row>
    <row r="143">
      <c r="A143" s="89"/>
      <c r="B143" s="89"/>
      <c r="D143" s="89"/>
      <c r="E143" s="90"/>
      <c r="F143" s="90"/>
    </row>
    <row r="144">
      <c r="A144" s="89"/>
      <c r="B144" s="89"/>
      <c r="D144" s="89"/>
      <c r="E144" s="90"/>
      <c r="F144" s="90"/>
    </row>
    <row r="145">
      <c r="A145" s="89"/>
      <c r="B145" s="89"/>
      <c r="D145" s="89"/>
      <c r="E145" s="90"/>
      <c r="F145" s="90"/>
    </row>
    <row r="146">
      <c r="A146" s="89"/>
      <c r="B146" s="89"/>
      <c r="D146" s="89"/>
      <c r="E146" s="90"/>
      <c r="F146" s="90"/>
    </row>
    <row r="147">
      <c r="A147" s="89"/>
      <c r="B147" s="89"/>
      <c r="D147" s="89"/>
      <c r="E147" s="90"/>
      <c r="F147" s="90"/>
    </row>
    <row r="148">
      <c r="A148" s="89"/>
      <c r="B148" s="89"/>
      <c r="D148" s="89"/>
      <c r="E148" s="90"/>
      <c r="F148" s="90"/>
    </row>
    <row r="149">
      <c r="A149" s="89"/>
      <c r="B149" s="89"/>
      <c r="D149" s="89"/>
      <c r="E149" s="90"/>
      <c r="F149" s="90"/>
    </row>
    <row r="150">
      <c r="A150" s="89"/>
      <c r="B150" s="89"/>
      <c r="D150" s="89"/>
      <c r="E150" s="90"/>
      <c r="F150" s="90"/>
    </row>
    <row r="151">
      <c r="A151" s="89"/>
      <c r="B151" s="89"/>
      <c r="D151" s="89"/>
      <c r="E151" s="90"/>
      <c r="F151" s="90"/>
    </row>
    <row r="152">
      <c r="A152" s="89"/>
      <c r="B152" s="89"/>
      <c r="D152" s="89"/>
      <c r="E152" s="90"/>
      <c r="F152" s="90"/>
    </row>
    <row r="153">
      <c r="A153" s="89"/>
      <c r="B153" s="89"/>
      <c r="D153" s="89"/>
      <c r="E153" s="90"/>
      <c r="F153" s="90"/>
    </row>
    <row r="154">
      <c r="A154" s="89"/>
      <c r="B154" s="89"/>
      <c r="D154" s="89"/>
      <c r="E154" s="90"/>
      <c r="F154" s="90"/>
    </row>
    <row r="155">
      <c r="A155" s="89"/>
      <c r="B155" s="89"/>
      <c r="D155" s="89"/>
      <c r="E155" s="90"/>
      <c r="F155" s="90"/>
    </row>
    <row r="156">
      <c r="A156" s="89"/>
      <c r="B156" s="89"/>
      <c r="D156" s="89"/>
      <c r="E156" s="90"/>
      <c r="F156" s="90"/>
    </row>
    <row r="157">
      <c r="A157" s="89"/>
      <c r="B157" s="89"/>
      <c r="D157" s="89"/>
      <c r="E157" s="90"/>
      <c r="F157" s="90"/>
    </row>
    <row r="158">
      <c r="A158" s="89"/>
      <c r="B158" s="89"/>
      <c r="D158" s="89"/>
      <c r="E158" s="90"/>
      <c r="F158" s="90"/>
    </row>
    <row r="159">
      <c r="A159" s="89"/>
      <c r="B159" s="89"/>
      <c r="D159" s="89"/>
      <c r="E159" s="90"/>
      <c r="F159" s="90"/>
    </row>
    <row r="160">
      <c r="A160" s="89"/>
      <c r="B160" s="89"/>
      <c r="D160" s="89"/>
      <c r="E160" s="90"/>
      <c r="F160" s="90"/>
    </row>
    <row r="161">
      <c r="A161" s="89"/>
      <c r="B161" s="89"/>
      <c r="D161" s="89"/>
      <c r="E161" s="90"/>
      <c r="F161" s="90"/>
    </row>
    <row r="162">
      <c r="A162" s="89"/>
      <c r="B162" s="89"/>
      <c r="D162" s="89"/>
      <c r="E162" s="90"/>
      <c r="F162" s="90"/>
    </row>
    <row r="163">
      <c r="A163" s="89"/>
      <c r="B163" s="89"/>
      <c r="D163" s="89"/>
      <c r="E163" s="90"/>
      <c r="F163" s="90"/>
    </row>
    <row r="164">
      <c r="A164" s="89"/>
      <c r="B164" s="89"/>
      <c r="D164" s="89"/>
      <c r="E164" s="90"/>
      <c r="F164" s="90"/>
    </row>
    <row r="165">
      <c r="A165" s="89"/>
      <c r="B165" s="89"/>
      <c r="D165" s="89"/>
      <c r="E165" s="90"/>
      <c r="F165" s="90"/>
    </row>
    <row r="166">
      <c r="A166" s="89"/>
      <c r="B166" s="89"/>
      <c r="D166" s="89"/>
      <c r="E166" s="90"/>
      <c r="F166" s="90"/>
    </row>
    <row r="167">
      <c r="A167" s="89"/>
      <c r="B167" s="89"/>
      <c r="D167" s="89"/>
      <c r="E167" s="90"/>
      <c r="F167" s="90"/>
    </row>
    <row r="168">
      <c r="A168" s="89"/>
      <c r="B168" s="89"/>
      <c r="D168" s="89"/>
      <c r="E168" s="90"/>
      <c r="F168" s="90"/>
    </row>
    <row r="169">
      <c r="A169" s="89"/>
      <c r="B169" s="89"/>
      <c r="D169" s="89"/>
      <c r="E169" s="90"/>
      <c r="F169" s="90"/>
    </row>
    <row r="170">
      <c r="A170" s="89"/>
      <c r="B170" s="89"/>
      <c r="D170" s="89"/>
      <c r="E170" s="90"/>
      <c r="F170" s="90"/>
    </row>
    <row r="171">
      <c r="A171" s="89"/>
      <c r="B171" s="89"/>
      <c r="D171" s="89"/>
      <c r="E171" s="90"/>
      <c r="F171" s="90"/>
    </row>
    <row r="172">
      <c r="A172" s="89"/>
      <c r="B172" s="89"/>
      <c r="D172" s="89"/>
      <c r="E172" s="90"/>
      <c r="F172" s="90"/>
    </row>
    <row r="173">
      <c r="A173" s="89"/>
      <c r="B173" s="89"/>
      <c r="D173" s="89"/>
      <c r="E173" s="90"/>
      <c r="F173" s="90"/>
    </row>
    <row r="174">
      <c r="A174" s="89"/>
      <c r="B174" s="89"/>
      <c r="D174" s="89"/>
      <c r="E174" s="90"/>
      <c r="F174" s="90"/>
    </row>
    <row r="175">
      <c r="A175" s="89"/>
      <c r="B175" s="89"/>
      <c r="D175" s="89"/>
      <c r="E175" s="90"/>
      <c r="F175" s="90"/>
    </row>
    <row r="176">
      <c r="A176" s="89"/>
      <c r="B176" s="89"/>
      <c r="D176" s="89"/>
      <c r="E176" s="90"/>
      <c r="F176" s="90"/>
    </row>
    <row r="177">
      <c r="A177" s="89"/>
      <c r="B177" s="89"/>
      <c r="D177" s="89"/>
      <c r="E177" s="90"/>
      <c r="F177" s="90"/>
    </row>
    <row r="178">
      <c r="A178" s="89"/>
      <c r="B178" s="89"/>
      <c r="D178" s="89"/>
      <c r="E178" s="90"/>
      <c r="F178" s="90"/>
    </row>
    <row r="179">
      <c r="A179" s="89"/>
      <c r="B179" s="89"/>
      <c r="D179" s="89"/>
      <c r="E179" s="90"/>
      <c r="F179" s="90"/>
    </row>
    <row r="180">
      <c r="A180" s="89"/>
      <c r="B180" s="89"/>
      <c r="D180" s="89"/>
      <c r="E180" s="90"/>
      <c r="F180" s="90"/>
    </row>
    <row r="181">
      <c r="A181" s="89"/>
      <c r="B181" s="89"/>
      <c r="D181" s="89"/>
      <c r="E181" s="90"/>
      <c r="F181" s="90"/>
    </row>
    <row r="182">
      <c r="A182" s="89"/>
      <c r="B182" s="89"/>
      <c r="D182" s="89"/>
      <c r="E182" s="90"/>
      <c r="F182" s="90"/>
    </row>
    <row r="183">
      <c r="A183" s="89"/>
      <c r="B183" s="89"/>
      <c r="D183" s="89"/>
      <c r="E183" s="90"/>
      <c r="F183" s="90"/>
    </row>
    <row r="184">
      <c r="A184" s="89"/>
      <c r="B184" s="89"/>
      <c r="D184" s="89"/>
      <c r="E184" s="90"/>
      <c r="F184" s="90"/>
    </row>
    <row r="185">
      <c r="A185" s="89"/>
      <c r="B185" s="89"/>
      <c r="D185" s="89"/>
      <c r="E185" s="90"/>
      <c r="F185" s="90"/>
    </row>
    <row r="186">
      <c r="A186" s="89"/>
      <c r="B186" s="89"/>
      <c r="D186" s="89"/>
      <c r="E186" s="90"/>
      <c r="F186" s="90"/>
    </row>
    <row r="187">
      <c r="A187" s="89"/>
      <c r="B187" s="89"/>
      <c r="D187" s="89"/>
      <c r="E187" s="90"/>
      <c r="F187" s="90"/>
    </row>
    <row r="188">
      <c r="A188" s="89"/>
      <c r="B188" s="89"/>
      <c r="D188" s="89"/>
      <c r="E188" s="90"/>
      <c r="F188" s="90"/>
    </row>
    <row r="189">
      <c r="A189" s="89"/>
      <c r="B189" s="89"/>
      <c r="D189" s="89"/>
      <c r="E189" s="90"/>
      <c r="F189" s="90"/>
    </row>
    <row r="190">
      <c r="A190" s="89"/>
      <c r="B190" s="89"/>
      <c r="D190" s="89"/>
      <c r="E190" s="90"/>
      <c r="F190" s="90"/>
    </row>
    <row r="191">
      <c r="A191" s="89"/>
      <c r="B191" s="89"/>
      <c r="D191" s="89"/>
      <c r="E191" s="90"/>
      <c r="F191" s="90"/>
    </row>
    <row r="192">
      <c r="A192" s="89"/>
      <c r="B192" s="89"/>
      <c r="D192" s="89"/>
      <c r="E192" s="90"/>
      <c r="F192" s="90"/>
    </row>
    <row r="193">
      <c r="A193" s="89"/>
      <c r="B193" s="89"/>
      <c r="D193" s="89"/>
      <c r="E193" s="90"/>
      <c r="F193" s="90"/>
    </row>
    <row r="194">
      <c r="A194" s="89"/>
      <c r="B194" s="89"/>
      <c r="D194" s="89"/>
      <c r="E194" s="90"/>
      <c r="F194" s="90"/>
    </row>
    <row r="195">
      <c r="A195" s="89"/>
      <c r="B195" s="89"/>
      <c r="D195" s="89"/>
      <c r="E195" s="90"/>
      <c r="F195" s="90"/>
    </row>
    <row r="196">
      <c r="A196" s="89"/>
      <c r="B196" s="89"/>
      <c r="D196" s="89"/>
      <c r="E196" s="90"/>
      <c r="F196" s="90"/>
    </row>
    <row r="197">
      <c r="A197" s="89"/>
      <c r="B197" s="89"/>
      <c r="D197" s="89"/>
      <c r="E197" s="90"/>
      <c r="F197" s="90"/>
    </row>
    <row r="198">
      <c r="A198" s="89"/>
      <c r="B198" s="89"/>
      <c r="D198" s="89"/>
      <c r="E198" s="90"/>
      <c r="F198" s="90"/>
    </row>
    <row r="199">
      <c r="A199" s="89"/>
      <c r="B199" s="89"/>
      <c r="D199" s="89"/>
      <c r="E199" s="90"/>
      <c r="F199" s="90"/>
    </row>
    <row r="200">
      <c r="A200" s="89"/>
      <c r="B200" s="89"/>
      <c r="D200" s="89"/>
      <c r="E200" s="90"/>
      <c r="F200" s="90"/>
    </row>
    <row r="201">
      <c r="A201" s="89"/>
      <c r="B201" s="89"/>
      <c r="D201" s="89"/>
      <c r="E201" s="90"/>
      <c r="F201" s="90"/>
    </row>
    <row r="202">
      <c r="A202" s="89"/>
      <c r="B202" s="89"/>
      <c r="D202" s="89"/>
      <c r="E202" s="90"/>
      <c r="F202" s="90"/>
    </row>
    <row r="203">
      <c r="A203" s="89"/>
      <c r="B203" s="89"/>
      <c r="D203" s="89"/>
      <c r="E203" s="90"/>
      <c r="F203" s="90"/>
    </row>
    <row r="204">
      <c r="A204" s="89"/>
      <c r="B204" s="89"/>
      <c r="D204" s="89"/>
      <c r="E204" s="90"/>
      <c r="F204" s="90"/>
    </row>
    <row r="205">
      <c r="A205" s="89"/>
      <c r="B205" s="89"/>
      <c r="D205" s="89"/>
      <c r="E205" s="90"/>
      <c r="F205" s="90"/>
    </row>
    <row r="206">
      <c r="A206" s="89"/>
      <c r="B206" s="89"/>
      <c r="D206" s="89"/>
      <c r="E206" s="90"/>
      <c r="F206" s="90"/>
    </row>
    <row r="207">
      <c r="A207" s="89"/>
      <c r="B207" s="89"/>
      <c r="D207" s="89"/>
      <c r="E207" s="90"/>
      <c r="F207" s="90"/>
    </row>
    <row r="208">
      <c r="A208" s="89"/>
      <c r="B208" s="89"/>
      <c r="D208" s="89"/>
      <c r="E208" s="90"/>
      <c r="F208" s="90"/>
    </row>
    <row r="209">
      <c r="A209" s="89"/>
      <c r="B209" s="89"/>
      <c r="D209" s="89"/>
      <c r="E209" s="90"/>
      <c r="F209" s="90"/>
    </row>
    <row r="210">
      <c r="A210" s="89"/>
      <c r="B210" s="89"/>
      <c r="D210" s="89"/>
      <c r="E210" s="90"/>
      <c r="F210" s="90"/>
    </row>
    <row r="211">
      <c r="A211" s="89"/>
      <c r="B211" s="89"/>
      <c r="D211" s="89"/>
      <c r="E211" s="90"/>
      <c r="F211" s="90"/>
    </row>
    <row r="212">
      <c r="A212" s="89"/>
      <c r="B212" s="89"/>
      <c r="D212" s="89"/>
      <c r="E212" s="90"/>
      <c r="F212" s="90"/>
    </row>
    <row r="213">
      <c r="A213" s="89"/>
      <c r="B213" s="89"/>
      <c r="D213" s="89"/>
      <c r="E213" s="90"/>
      <c r="F213" s="90"/>
    </row>
    <row r="214">
      <c r="A214" s="89"/>
      <c r="B214" s="89"/>
      <c r="D214" s="89"/>
      <c r="E214" s="90"/>
      <c r="F214" s="90"/>
    </row>
    <row r="215">
      <c r="A215" s="89"/>
      <c r="B215" s="89"/>
      <c r="D215" s="89"/>
      <c r="E215" s="90"/>
      <c r="F215" s="90"/>
    </row>
    <row r="216">
      <c r="A216" s="89"/>
      <c r="B216" s="89"/>
      <c r="D216" s="89"/>
      <c r="E216" s="90"/>
      <c r="F216" s="90"/>
    </row>
    <row r="217">
      <c r="A217" s="89"/>
      <c r="B217" s="89"/>
      <c r="D217" s="89"/>
      <c r="E217" s="90"/>
      <c r="F217" s="90"/>
    </row>
    <row r="218">
      <c r="A218" s="89"/>
      <c r="B218" s="89"/>
      <c r="D218" s="89"/>
      <c r="E218" s="90"/>
      <c r="F218" s="90"/>
    </row>
    <row r="219">
      <c r="A219" s="89"/>
      <c r="B219" s="89"/>
      <c r="D219" s="89"/>
      <c r="E219" s="90"/>
      <c r="F219" s="90"/>
    </row>
    <row r="220">
      <c r="A220" s="89"/>
      <c r="B220" s="89"/>
      <c r="D220" s="89"/>
      <c r="E220" s="90"/>
      <c r="F220" s="90"/>
    </row>
    <row r="221">
      <c r="A221" s="89"/>
      <c r="B221" s="89"/>
      <c r="D221" s="89"/>
      <c r="E221" s="90"/>
      <c r="F221" s="90"/>
    </row>
    <row r="222">
      <c r="A222" s="89"/>
      <c r="B222" s="89"/>
      <c r="D222" s="89"/>
      <c r="E222" s="90"/>
      <c r="F222" s="90"/>
    </row>
    <row r="223">
      <c r="A223" s="89"/>
      <c r="B223" s="89"/>
      <c r="D223" s="89"/>
      <c r="E223" s="90"/>
      <c r="F223" s="90"/>
    </row>
    <row r="224">
      <c r="A224" s="89"/>
      <c r="B224" s="89"/>
      <c r="D224" s="89"/>
      <c r="E224" s="90"/>
      <c r="F224" s="90"/>
    </row>
    <row r="225">
      <c r="A225" s="89"/>
      <c r="B225" s="89"/>
      <c r="D225" s="89"/>
      <c r="E225" s="90"/>
      <c r="F225" s="90"/>
    </row>
    <row r="226">
      <c r="A226" s="89"/>
      <c r="B226" s="89"/>
      <c r="D226" s="89"/>
      <c r="E226" s="90"/>
      <c r="F226" s="90"/>
    </row>
    <row r="227">
      <c r="A227" s="89"/>
      <c r="B227" s="89"/>
      <c r="D227" s="89"/>
      <c r="E227" s="90"/>
      <c r="F227" s="90"/>
    </row>
    <row r="228">
      <c r="A228" s="89"/>
      <c r="B228" s="89"/>
      <c r="D228" s="89"/>
      <c r="E228" s="90"/>
      <c r="F228" s="90"/>
    </row>
    <row r="229">
      <c r="A229" s="89"/>
      <c r="B229" s="89"/>
      <c r="D229" s="89"/>
      <c r="E229" s="90"/>
      <c r="F229" s="90"/>
    </row>
    <row r="230">
      <c r="A230" s="89"/>
      <c r="B230" s="89"/>
      <c r="D230" s="89"/>
      <c r="E230" s="90"/>
      <c r="F230" s="90"/>
    </row>
    <row r="231">
      <c r="A231" s="89"/>
      <c r="B231" s="89"/>
      <c r="D231" s="89"/>
      <c r="E231" s="90"/>
      <c r="F231" s="90"/>
    </row>
    <row r="232">
      <c r="A232" s="89"/>
      <c r="B232" s="89"/>
      <c r="D232" s="89"/>
      <c r="E232" s="90"/>
      <c r="F232" s="90"/>
    </row>
    <row r="233">
      <c r="A233" s="89"/>
      <c r="B233" s="89"/>
      <c r="D233" s="89"/>
      <c r="E233" s="90"/>
      <c r="F233" s="90"/>
    </row>
    <row r="234">
      <c r="A234" s="89"/>
      <c r="B234" s="89"/>
      <c r="D234" s="89"/>
      <c r="E234" s="90"/>
      <c r="F234" s="90"/>
    </row>
    <row r="235">
      <c r="A235" s="89"/>
      <c r="B235" s="89"/>
      <c r="D235" s="89"/>
      <c r="E235" s="90"/>
      <c r="F235" s="90"/>
    </row>
    <row r="236">
      <c r="A236" s="89"/>
      <c r="B236" s="89"/>
      <c r="D236" s="89"/>
      <c r="E236" s="90"/>
      <c r="F236" s="90"/>
    </row>
    <row r="237">
      <c r="A237" s="89"/>
      <c r="B237" s="89"/>
      <c r="D237" s="89"/>
      <c r="E237" s="90"/>
      <c r="F237" s="90"/>
    </row>
    <row r="238">
      <c r="A238" s="89"/>
      <c r="B238" s="89"/>
      <c r="D238" s="89"/>
      <c r="E238" s="90"/>
      <c r="F238" s="90"/>
    </row>
    <row r="239">
      <c r="A239" s="89"/>
      <c r="B239" s="89"/>
      <c r="D239" s="89"/>
      <c r="E239" s="90"/>
      <c r="F239" s="90"/>
    </row>
    <row r="240">
      <c r="A240" s="89"/>
      <c r="B240" s="89"/>
      <c r="D240" s="89"/>
      <c r="E240" s="90"/>
      <c r="F240" s="90"/>
    </row>
    <row r="241">
      <c r="A241" s="89"/>
      <c r="B241" s="89"/>
      <c r="D241" s="89"/>
      <c r="E241" s="90"/>
      <c r="F241" s="90"/>
    </row>
    <row r="242">
      <c r="A242" s="89"/>
      <c r="B242" s="89"/>
      <c r="D242" s="89"/>
      <c r="E242" s="90"/>
      <c r="F242" s="90"/>
    </row>
    <row r="243">
      <c r="A243" s="89"/>
      <c r="B243" s="89"/>
      <c r="D243" s="89"/>
      <c r="E243" s="90"/>
      <c r="F243" s="90"/>
    </row>
    <row r="244">
      <c r="A244" s="89"/>
      <c r="B244" s="89"/>
      <c r="D244" s="89"/>
      <c r="E244" s="90"/>
      <c r="F244" s="90"/>
    </row>
    <row r="245">
      <c r="A245" s="89"/>
      <c r="B245" s="89"/>
      <c r="D245" s="89"/>
      <c r="E245" s="90"/>
      <c r="F245" s="90"/>
    </row>
    <row r="246">
      <c r="A246" s="89"/>
      <c r="B246" s="89"/>
      <c r="D246" s="89"/>
      <c r="E246" s="90"/>
      <c r="F246" s="90"/>
    </row>
    <row r="247">
      <c r="A247" s="89"/>
      <c r="B247" s="89"/>
      <c r="D247" s="89"/>
      <c r="E247" s="90"/>
      <c r="F247" s="90"/>
    </row>
    <row r="248">
      <c r="A248" s="89"/>
      <c r="B248" s="89"/>
      <c r="D248" s="89"/>
      <c r="E248" s="90"/>
      <c r="F248" s="90"/>
    </row>
    <row r="249">
      <c r="A249" s="89"/>
      <c r="B249" s="89"/>
      <c r="D249" s="89"/>
      <c r="E249" s="90"/>
      <c r="F249" s="90"/>
    </row>
    <row r="250">
      <c r="A250" s="89"/>
      <c r="B250" s="89"/>
      <c r="D250" s="89"/>
      <c r="E250" s="90"/>
      <c r="F250" s="90"/>
    </row>
    <row r="251">
      <c r="A251" s="89"/>
      <c r="B251" s="89"/>
      <c r="D251" s="89"/>
      <c r="E251" s="90"/>
      <c r="F251" s="90"/>
    </row>
    <row r="252">
      <c r="A252" s="89"/>
      <c r="B252" s="89"/>
      <c r="D252" s="89"/>
      <c r="E252" s="90"/>
      <c r="F252" s="90"/>
    </row>
    <row r="253">
      <c r="A253" s="89"/>
      <c r="B253" s="89"/>
      <c r="D253" s="89"/>
      <c r="E253" s="90"/>
      <c r="F253" s="90"/>
    </row>
    <row r="254">
      <c r="A254" s="89"/>
      <c r="B254" s="89"/>
      <c r="D254" s="89"/>
      <c r="E254" s="90"/>
      <c r="F254" s="90"/>
    </row>
    <row r="255">
      <c r="A255" s="89"/>
      <c r="B255" s="89"/>
      <c r="D255" s="89"/>
      <c r="E255" s="90"/>
      <c r="F255" s="90"/>
    </row>
    <row r="256">
      <c r="A256" s="89"/>
      <c r="B256" s="89"/>
      <c r="D256" s="89"/>
      <c r="E256" s="90"/>
      <c r="F256" s="90"/>
    </row>
    <row r="257">
      <c r="A257" s="89"/>
      <c r="B257" s="89"/>
      <c r="D257" s="89"/>
      <c r="E257" s="90"/>
      <c r="F257" s="90"/>
    </row>
    <row r="258">
      <c r="A258" s="89"/>
      <c r="B258" s="89"/>
      <c r="D258" s="89"/>
      <c r="E258" s="90"/>
      <c r="F258" s="90"/>
    </row>
    <row r="259">
      <c r="A259" s="89"/>
      <c r="B259" s="89"/>
      <c r="D259" s="89"/>
      <c r="E259" s="90"/>
      <c r="F259" s="90"/>
    </row>
    <row r="260">
      <c r="A260" s="89"/>
      <c r="B260" s="89"/>
      <c r="D260" s="89"/>
      <c r="E260" s="90"/>
      <c r="F260" s="90"/>
    </row>
    <row r="261">
      <c r="A261" s="89"/>
      <c r="B261" s="89"/>
      <c r="D261" s="89"/>
      <c r="E261" s="90"/>
      <c r="F261" s="90"/>
    </row>
    <row r="262">
      <c r="A262" s="89"/>
      <c r="B262" s="89"/>
      <c r="D262" s="89"/>
      <c r="E262" s="90"/>
      <c r="F262" s="90"/>
    </row>
    <row r="263">
      <c r="A263" s="89"/>
      <c r="B263" s="89"/>
      <c r="D263" s="89"/>
      <c r="E263" s="90"/>
      <c r="F263" s="90"/>
    </row>
    <row r="264">
      <c r="A264" s="89"/>
      <c r="B264" s="89"/>
      <c r="D264" s="89"/>
      <c r="E264" s="90"/>
      <c r="F264" s="90"/>
    </row>
    <row r="265">
      <c r="A265" s="89"/>
      <c r="B265" s="89"/>
      <c r="D265" s="89"/>
      <c r="E265" s="90"/>
      <c r="F265" s="90"/>
    </row>
    <row r="266">
      <c r="A266" s="89"/>
      <c r="B266" s="89"/>
      <c r="D266" s="89"/>
      <c r="E266" s="90"/>
      <c r="F266" s="90"/>
    </row>
    <row r="267">
      <c r="A267" s="89"/>
      <c r="B267" s="89"/>
      <c r="D267" s="89"/>
      <c r="E267" s="90"/>
      <c r="F267" s="90"/>
    </row>
    <row r="268">
      <c r="A268" s="89"/>
      <c r="B268" s="89"/>
      <c r="D268" s="89"/>
      <c r="E268" s="90"/>
      <c r="F268" s="90"/>
    </row>
    <row r="269">
      <c r="A269" s="89"/>
      <c r="B269" s="89"/>
      <c r="D269" s="89"/>
      <c r="E269" s="90"/>
      <c r="F269" s="90"/>
    </row>
    <row r="270">
      <c r="A270" s="89"/>
      <c r="B270" s="89"/>
      <c r="D270" s="89"/>
      <c r="E270" s="90"/>
      <c r="F270" s="90"/>
    </row>
    <row r="271">
      <c r="A271" s="89"/>
      <c r="B271" s="89"/>
      <c r="D271" s="89"/>
      <c r="E271" s="90"/>
      <c r="F271" s="90"/>
    </row>
    <row r="272">
      <c r="A272" s="89"/>
      <c r="B272" s="89"/>
      <c r="D272" s="89"/>
      <c r="E272" s="90"/>
      <c r="F272" s="90"/>
    </row>
    <row r="273">
      <c r="A273" s="89"/>
      <c r="B273" s="89"/>
      <c r="D273" s="89"/>
      <c r="E273" s="90"/>
      <c r="F273" s="90"/>
    </row>
    <row r="274">
      <c r="A274" s="89"/>
      <c r="B274" s="89"/>
      <c r="D274" s="89"/>
      <c r="E274" s="90"/>
      <c r="F274" s="90"/>
    </row>
    <row r="275">
      <c r="A275" s="89"/>
      <c r="B275" s="89"/>
      <c r="D275" s="89"/>
      <c r="E275" s="90"/>
      <c r="F275" s="90"/>
    </row>
    <row r="276">
      <c r="A276" s="89"/>
      <c r="B276" s="89"/>
      <c r="D276" s="89"/>
      <c r="E276" s="90"/>
      <c r="F276" s="90"/>
    </row>
    <row r="277">
      <c r="A277" s="89"/>
      <c r="B277" s="89"/>
      <c r="D277" s="89"/>
      <c r="E277" s="90"/>
      <c r="F277" s="90"/>
    </row>
    <row r="278">
      <c r="A278" s="89"/>
      <c r="B278" s="89"/>
      <c r="D278" s="89"/>
      <c r="E278" s="90"/>
      <c r="F278" s="90"/>
    </row>
    <row r="279">
      <c r="A279" s="89"/>
      <c r="B279" s="89"/>
      <c r="D279" s="89"/>
      <c r="E279" s="90"/>
      <c r="F279" s="90"/>
    </row>
    <row r="280">
      <c r="A280" s="89"/>
      <c r="B280" s="89"/>
      <c r="D280" s="89"/>
      <c r="E280" s="90"/>
      <c r="F280" s="90"/>
    </row>
    <row r="281">
      <c r="A281" s="89"/>
      <c r="B281" s="89"/>
      <c r="D281" s="89"/>
      <c r="E281" s="90"/>
      <c r="F281" s="90"/>
    </row>
    <row r="282">
      <c r="A282" s="89"/>
      <c r="B282" s="89"/>
      <c r="D282" s="89"/>
      <c r="E282" s="90"/>
      <c r="F282" s="90"/>
    </row>
    <row r="283">
      <c r="A283" s="89"/>
      <c r="B283" s="89"/>
      <c r="D283" s="89"/>
      <c r="E283" s="90"/>
      <c r="F283" s="90"/>
    </row>
    <row r="284">
      <c r="A284" s="89"/>
      <c r="B284" s="89"/>
      <c r="D284" s="89"/>
      <c r="E284" s="90"/>
      <c r="F284" s="90"/>
    </row>
    <row r="285">
      <c r="A285" s="89"/>
      <c r="B285" s="89"/>
      <c r="D285" s="89"/>
      <c r="E285" s="90"/>
      <c r="F285" s="90"/>
    </row>
    <row r="286">
      <c r="A286" s="89"/>
      <c r="B286" s="89"/>
      <c r="D286" s="89"/>
      <c r="E286" s="90"/>
      <c r="F286" s="90"/>
    </row>
    <row r="287">
      <c r="A287" s="89"/>
      <c r="B287" s="89"/>
      <c r="D287" s="89"/>
      <c r="E287" s="90"/>
      <c r="F287" s="90"/>
    </row>
    <row r="288">
      <c r="A288" s="89"/>
      <c r="B288" s="89"/>
      <c r="D288" s="89"/>
      <c r="E288" s="90"/>
      <c r="F288" s="90"/>
    </row>
    <row r="289">
      <c r="A289" s="89"/>
      <c r="B289" s="89"/>
      <c r="D289" s="89"/>
      <c r="E289" s="90"/>
      <c r="F289" s="90"/>
    </row>
    <row r="290">
      <c r="A290" s="89"/>
      <c r="B290" s="89"/>
      <c r="D290" s="89"/>
      <c r="E290" s="90"/>
      <c r="F290" s="90"/>
    </row>
    <row r="291">
      <c r="A291" s="89"/>
      <c r="B291" s="89"/>
      <c r="D291" s="89"/>
      <c r="E291" s="90"/>
      <c r="F291" s="90"/>
    </row>
    <row r="292">
      <c r="A292" s="89"/>
      <c r="B292" s="89"/>
      <c r="D292" s="89"/>
      <c r="E292" s="90"/>
      <c r="F292" s="90"/>
    </row>
    <row r="293">
      <c r="A293" s="89"/>
      <c r="B293" s="89"/>
      <c r="D293" s="89"/>
      <c r="E293" s="90"/>
      <c r="F293" s="90"/>
    </row>
    <row r="294">
      <c r="A294" s="89"/>
      <c r="B294" s="89"/>
      <c r="D294" s="89"/>
      <c r="E294" s="90"/>
      <c r="F294" s="90"/>
    </row>
    <row r="295">
      <c r="A295" s="89"/>
      <c r="B295" s="89"/>
      <c r="D295" s="89"/>
      <c r="E295" s="90"/>
      <c r="F295" s="90"/>
    </row>
    <row r="296">
      <c r="A296" s="89"/>
      <c r="B296" s="89"/>
      <c r="D296" s="89"/>
      <c r="E296" s="90"/>
      <c r="F296" s="90"/>
    </row>
    <row r="297">
      <c r="A297" s="89"/>
      <c r="B297" s="89"/>
      <c r="D297" s="89"/>
      <c r="E297" s="90"/>
      <c r="F297" s="90"/>
    </row>
    <row r="298">
      <c r="A298" s="89"/>
      <c r="B298" s="89"/>
      <c r="D298" s="89"/>
      <c r="E298" s="90"/>
      <c r="F298" s="90"/>
    </row>
    <row r="299">
      <c r="A299" s="89"/>
      <c r="B299" s="89"/>
      <c r="D299" s="89"/>
      <c r="E299" s="90"/>
      <c r="F299" s="90"/>
    </row>
    <row r="300">
      <c r="A300" s="89"/>
      <c r="B300" s="89"/>
      <c r="D300" s="89"/>
      <c r="E300" s="90"/>
      <c r="F300" s="90"/>
    </row>
    <row r="301">
      <c r="A301" s="89"/>
      <c r="B301" s="89"/>
      <c r="D301" s="89"/>
      <c r="E301" s="90"/>
      <c r="F301" s="90"/>
    </row>
    <row r="302">
      <c r="A302" s="89"/>
      <c r="B302" s="89"/>
      <c r="D302" s="89"/>
      <c r="E302" s="90"/>
      <c r="F302" s="90"/>
    </row>
    <row r="303">
      <c r="A303" s="89"/>
      <c r="B303" s="89"/>
      <c r="D303" s="89"/>
      <c r="E303" s="90"/>
      <c r="F303" s="90"/>
    </row>
    <row r="304">
      <c r="A304" s="89"/>
      <c r="B304" s="89"/>
      <c r="D304" s="89"/>
      <c r="E304" s="90"/>
      <c r="F304" s="90"/>
    </row>
    <row r="305">
      <c r="A305" s="89"/>
      <c r="B305" s="89"/>
      <c r="D305" s="89"/>
      <c r="E305" s="90"/>
      <c r="F305" s="90"/>
    </row>
    <row r="306">
      <c r="A306" s="89"/>
      <c r="B306" s="89"/>
      <c r="D306" s="89"/>
      <c r="E306" s="90"/>
      <c r="F306" s="90"/>
    </row>
    <row r="307">
      <c r="A307" s="89"/>
      <c r="B307" s="89"/>
      <c r="D307" s="89"/>
      <c r="E307" s="90"/>
      <c r="F307" s="90"/>
    </row>
    <row r="308">
      <c r="A308" s="89"/>
      <c r="B308" s="89"/>
      <c r="D308" s="89"/>
      <c r="E308" s="90"/>
      <c r="F308" s="90"/>
    </row>
    <row r="309">
      <c r="A309" s="89"/>
      <c r="B309" s="89"/>
      <c r="D309" s="89"/>
      <c r="E309" s="90"/>
      <c r="F309" s="90"/>
    </row>
    <row r="310">
      <c r="A310" s="89"/>
      <c r="B310" s="89"/>
      <c r="D310" s="89"/>
      <c r="E310" s="90"/>
      <c r="F310" s="90"/>
    </row>
    <row r="311">
      <c r="A311" s="89"/>
      <c r="B311" s="89"/>
      <c r="D311" s="89"/>
      <c r="E311" s="90"/>
      <c r="F311" s="90"/>
    </row>
    <row r="312">
      <c r="A312" s="89"/>
      <c r="B312" s="89"/>
      <c r="D312" s="89"/>
      <c r="E312" s="90"/>
      <c r="F312" s="90"/>
    </row>
    <row r="313">
      <c r="A313" s="89"/>
      <c r="B313" s="89"/>
      <c r="D313" s="89"/>
      <c r="E313" s="90"/>
      <c r="F313" s="90"/>
    </row>
    <row r="314">
      <c r="A314" s="89"/>
      <c r="B314" s="89"/>
      <c r="D314" s="89"/>
      <c r="E314" s="90"/>
      <c r="F314" s="90"/>
    </row>
    <row r="315">
      <c r="A315" s="89"/>
      <c r="B315" s="89"/>
      <c r="D315" s="89"/>
      <c r="E315" s="90"/>
      <c r="F315" s="90"/>
    </row>
    <row r="316">
      <c r="A316" s="89"/>
      <c r="B316" s="89"/>
      <c r="D316" s="89"/>
      <c r="E316" s="90"/>
      <c r="F316" s="90"/>
    </row>
    <row r="317">
      <c r="A317" s="89"/>
      <c r="B317" s="89"/>
      <c r="D317" s="89"/>
      <c r="E317" s="90"/>
      <c r="F317" s="90"/>
    </row>
    <row r="318">
      <c r="A318" s="89"/>
      <c r="B318" s="89"/>
      <c r="D318" s="89"/>
      <c r="E318" s="90"/>
      <c r="F318" s="90"/>
    </row>
    <row r="319">
      <c r="A319" s="89"/>
      <c r="B319" s="89"/>
      <c r="D319" s="89"/>
      <c r="E319" s="90"/>
      <c r="F319" s="90"/>
    </row>
    <row r="320">
      <c r="A320" s="89"/>
      <c r="B320" s="89"/>
      <c r="D320" s="89"/>
      <c r="E320" s="90"/>
      <c r="F320" s="90"/>
    </row>
    <row r="321">
      <c r="A321" s="89"/>
      <c r="B321" s="89"/>
      <c r="D321" s="89"/>
      <c r="E321" s="90"/>
      <c r="F321" s="90"/>
    </row>
    <row r="322">
      <c r="A322" s="89"/>
      <c r="B322" s="89"/>
      <c r="D322" s="89"/>
      <c r="E322" s="90"/>
      <c r="F322" s="90"/>
    </row>
    <row r="323">
      <c r="A323" s="89"/>
      <c r="B323" s="89"/>
      <c r="D323" s="89"/>
      <c r="E323" s="90"/>
      <c r="F323" s="90"/>
    </row>
    <row r="324">
      <c r="A324" s="89"/>
      <c r="B324" s="89"/>
      <c r="D324" s="89"/>
      <c r="E324" s="90"/>
      <c r="F324" s="90"/>
    </row>
    <row r="325">
      <c r="A325" s="89"/>
      <c r="B325" s="89"/>
      <c r="D325" s="89"/>
      <c r="E325" s="90"/>
      <c r="F325" s="90"/>
    </row>
    <row r="326">
      <c r="A326" s="89"/>
      <c r="B326" s="89"/>
      <c r="D326" s="89"/>
      <c r="E326" s="90"/>
      <c r="F326" s="90"/>
    </row>
    <row r="327">
      <c r="A327" s="89"/>
      <c r="B327" s="89"/>
      <c r="D327" s="89"/>
      <c r="E327" s="90"/>
      <c r="F327" s="90"/>
    </row>
    <row r="328">
      <c r="A328" s="89"/>
      <c r="B328" s="89"/>
      <c r="D328" s="89"/>
      <c r="E328" s="90"/>
      <c r="F328" s="90"/>
    </row>
    <row r="329">
      <c r="A329" s="89"/>
      <c r="B329" s="89"/>
      <c r="D329" s="89"/>
      <c r="E329" s="90"/>
      <c r="F329" s="90"/>
    </row>
    <row r="330">
      <c r="A330" s="89"/>
      <c r="B330" s="89"/>
      <c r="D330" s="89"/>
      <c r="E330" s="90"/>
      <c r="F330" s="90"/>
    </row>
    <row r="331">
      <c r="A331" s="89"/>
      <c r="B331" s="89"/>
      <c r="D331" s="89"/>
      <c r="E331" s="90"/>
      <c r="F331" s="90"/>
    </row>
    <row r="332">
      <c r="A332" s="89"/>
      <c r="B332" s="89"/>
      <c r="D332" s="89"/>
      <c r="E332" s="90"/>
      <c r="F332" s="90"/>
    </row>
    <row r="333">
      <c r="A333" s="89"/>
      <c r="B333" s="89"/>
      <c r="D333" s="89"/>
      <c r="E333" s="90"/>
      <c r="F333" s="90"/>
    </row>
    <row r="334">
      <c r="A334" s="89"/>
      <c r="B334" s="89"/>
      <c r="D334" s="89"/>
      <c r="E334" s="90"/>
      <c r="F334" s="90"/>
    </row>
    <row r="335">
      <c r="A335" s="89"/>
      <c r="B335" s="89"/>
      <c r="D335" s="89"/>
      <c r="E335" s="90"/>
      <c r="F335" s="90"/>
    </row>
    <row r="336">
      <c r="A336" s="89"/>
      <c r="B336" s="89"/>
      <c r="D336" s="89"/>
      <c r="E336" s="90"/>
      <c r="F336" s="90"/>
    </row>
    <row r="337">
      <c r="A337" s="89"/>
      <c r="B337" s="89"/>
      <c r="D337" s="89"/>
      <c r="E337" s="90"/>
      <c r="F337" s="90"/>
    </row>
    <row r="338">
      <c r="A338" s="89"/>
      <c r="B338" s="89"/>
      <c r="D338" s="89"/>
      <c r="E338" s="90"/>
      <c r="F338" s="90"/>
    </row>
    <row r="339">
      <c r="A339" s="89"/>
      <c r="B339" s="89"/>
      <c r="D339" s="89"/>
      <c r="E339" s="90"/>
      <c r="F339" s="90"/>
    </row>
    <row r="340">
      <c r="A340" s="89"/>
      <c r="B340" s="89"/>
      <c r="D340" s="89"/>
      <c r="E340" s="90"/>
      <c r="F340" s="90"/>
    </row>
    <row r="341">
      <c r="A341" s="89"/>
      <c r="B341" s="89"/>
      <c r="D341" s="89"/>
      <c r="E341" s="90"/>
      <c r="F341" s="90"/>
    </row>
    <row r="342">
      <c r="A342" s="89"/>
      <c r="B342" s="89"/>
      <c r="D342" s="89"/>
      <c r="E342" s="90"/>
      <c r="F342" s="90"/>
    </row>
    <row r="343">
      <c r="A343" s="89"/>
      <c r="B343" s="89"/>
      <c r="D343" s="89"/>
      <c r="E343" s="90"/>
      <c r="F343" s="90"/>
    </row>
    <row r="344">
      <c r="A344" s="89"/>
      <c r="B344" s="89"/>
      <c r="D344" s="89"/>
      <c r="E344" s="90"/>
      <c r="F344" s="90"/>
    </row>
    <row r="345">
      <c r="A345" s="89"/>
      <c r="B345" s="89"/>
      <c r="D345" s="89"/>
      <c r="E345" s="90"/>
      <c r="F345" s="90"/>
    </row>
    <row r="346">
      <c r="A346" s="89"/>
      <c r="B346" s="89"/>
      <c r="D346" s="89"/>
      <c r="E346" s="90"/>
      <c r="F346" s="90"/>
    </row>
    <row r="347">
      <c r="A347" s="89"/>
      <c r="B347" s="89"/>
      <c r="D347" s="89"/>
      <c r="E347" s="90"/>
      <c r="F347" s="90"/>
    </row>
    <row r="348">
      <c r="A348" s="89"/>
      <c r="B348" s="89"/>
      <c r="D348" s="89"/>
      <c r="E348" s="90"/>
      <c r="F348" s="90"/>
    </row>
    <row r="349">
      <c r="A349" s="89"/>
      <c r="B349" s="89"/>
      <c r="D349" s="89"/>
      <c r="E349" s="90"/>
      <c r="F349" s="90"/>
    </row>
    <row r="350">
      <c r="A350" s="89"/>
      <c r="B350" s="89"/>
      <c r="D350" s="89"/>
      <c r="E350" s="90"/>
      <c r="F350" s="90"/>
    </row>
    <row r="351">
      <c r="A351" s="89"/>
      <c r="B351" s="89"/>
      <c r="D351" s="89"/>
      <c r="E351" s="90"/>
      <c r="F351" s="90"/>
    </row>
    <row r="352">
      <c r="A352" s="89"/>
      <c r="B352" s="89"/>
      <c r="D352" s="89"/>
      <c r="E352" s="90"/>
      <c r="F352" s="90"/>
    </row>
    <row r="353">
      <c r="A353" s="89"/>
      <c r="B353" s="89"/>
      <c r="D353" s="89"/>
      <c r="E353" s="90"/>
      <c r="F353" s="90"/>
    </row>
    <row r="354">
      <c r="A354" s="89"/>
      <c r="B354" s="89"/>
      <c r="D354" s="89"/>
      <c r="E354" s="90"/>
      <c r="F354" s="90"/>
    </row>
    <row r="355">
      <c r="A355" s="89"/>
      <c r="B355" s="89"/>
      <c r="D355" s="89"/>
      <c r="E355" s="90"/>
      <c r="F355" s="90"/>
    </row>
    <row r="356">
      <c r="A356" s="89"/>
      <c r="B356" s="89"/>
      <c r="D356" s="89"/>
      <c r="E356" s="90"/>
      <c r="F356" s="90"/>
    </row>
    <row r="357">
      <c r="A357" s="89"/>
      <c r="B357" s="89"/>
      <c r="D357" s="89"/>
      <c r="E357" s="90"/>
      <c r="F357" s="90"/>
    </row>
    <row r="358">
      <c r="A358" s="89"/>
      <c r="B358" s="89"/>
      <c r="D358" s="89"/>
      <c r="E358" s="90"/>
      <c r="F358" s="90"/>
    </row>
    <row r="359">
      <c r="A359" s="89"/>
      <c r="B359" s="89"/>
      <c r="D359" s="89"/>
      <c r="E359" s="90"/>
      <c r="F359" s="90"/>
    </row>
    <row r="360">
      <c r="A360" s="89"/>
      <c r="B360" s="89"/>
      <c r="D360" s="89"/>
      <c r="E360" s="90"/>
      <c r="F360" s="90"/>
    </row>
    <row r="361">
      <c r="A361" s="89"/>
      <c r="B361" s="89"/>
      <c r="D361" s="89"/>
      <c r="E361" s="90"/>
      <c r="F361" s="90"/>
    </row>
    <row r="362">
      <c r="A362" s="89"/>
      <c r="B362" s="89"/>
      <c r="D362" s="89"/>
      <c r="E362" s="90"/>
      <c r="F362" s="90"/>
    </row>
    <row r="363">
      <c r="A363" s="89"/>
      <c r="B363" s="89"/>
      <c r="D363" s="89"/>
      <c r="E363" s="90"/>
      <c r="F363" s="90"/>
    </row>
    <row r="364">
      <c r="A364" s="89"/>
      <c r="B364" s="89"/>
      <c r="D364" s="89"/>
      <c r="E364" s="90"/>
      <c r="F364" s="90"/>
    </row>
    <row r="365">
      <c r="A365" s="89"/>
      <c r="B365" s="89"/>
      <c r="D365" s="89"/>
      <c r="E365" s="90"/>
      <c r="F365" s="90"/>
    </row>
    <row r="366">
      <c r="A366" s="89"/>
      <c r="B366" s="89"/>
      <c r="D366" s="89"/>
      <c r="E366" s="90"/>
      <c r="F366" s="90"/>
    </row>
    <row r="367">
      <c r="A367" s="89"/>
      <c r="B367" s="89"/>
      <c r="D367" s="89"/>
      <c r="E367" s="90"/>
      <c r="F367" s="90"/>
    </row>
    <row r="368">
      <c r="A368" s="89"/>
      <c r="B368" s="89"/>
      <c r="D368" s="89"/>
      <c r="E368" s="90"/>
      <c r="F368" s="90"/>
    </row>
    <row r="369">
      <c r="A369" s="89"/>
      <c r="B369" s="89"/>
      <c r="D369" s="89"/>
      <c r="E369" s="90"/>
      <c r="F369" s="90"/>
    </row>
    <row r="370">
      <c r="A370" s="89"/>
      <c r="B370" s="89"/>
      <c r="D370" s="89"/>
      <c r="E370" s="90"/>
      <c r="F370" s="90"/>
    </row>
    <row r="371">
      <c r="A371" s="89"/>
      <c r="B371" s="89"/>
      <c r="D371" s="89"/>
      <c r="E371" s="90"/>
      <c r="F371" s="90"/>
    </row>
    <row r="372">
      <c r="A372" s="89"/>
      <c r="B372" s="89"/>
      <c r="D372" s="89"/>
      <c r="E372" s="90"/>
      <c r="F372" s="90"/>
    </row>
    <row r="373">
      <c r="A373" s="89"/>
      <c r="B373" s="89"/>
      <c r="D373" s="89"/>
      <c r="E373" s="90"/>
      <c r="F373" s="90"/>
    </row>
    <row r="374">
      <c r="A374" s="89"/>
      <c r="B374" s="89"/>
      <c r="D374" s="89"/>
      <c r="E374" s="90"/>
      <c r="F374" s="90"/>
    </row>
    <row r="375">
      <c r="A375" s="89"/>
      <c r="B375" s="89"/>
      <c r="D375" s="89"/>
      <c r="E375" s="90"/>
      <c r="F375" s="90"/>
    </row>
    <row r="376">
      <c r="A376" s="89"/>
      <c r="B376" s="89"/>
      <c r="D376" s="89"/>
      <c r="E376" s="90"/>
      <c r="F376" s="90"/>
    </row>
    <row r="377">
      <c r="A377" s="89"/>
      <c r="B377" s="89"/>
      <c r="D377" s="89"/>
      <c r="E377" s="90"/>
      <c r="F377" s="90"/>
    </row>
    <row r="378">
      <c r="A378" s="89"/>
      <c r="B378" s="89"/>
      <c r="D378" s="89"/>
      <c r="E378" s="90"/>
      <c r="F378" s="90"/>
    </row>
    <row r="379">
      <c r="A379" s="89"/>
      <c r="B379" s="89"/>
      <c r="D379" s="89"/>
      <c r="E379" s="90"/>
      <c r="F379" s="90"/>
    </row>
    <row r="380">
      <c r="A380" s="89"/>
      <c r="B380" s="89"/>
      <c r="D380" s="89"/>
      <c r="E380" s="90"/>
      <c r="F380" s="90"/>
    </row>
    <row r="381">
      <c r="A381" s="89"/>
      <c r="B381" s="89"/>
      <c r="D381" s="89"/>
      <c r="E381" s="90"/>
      <c r="F381" s="90"/>
    </row>
    <row r="382">
      <c r="A382" s="89"/>
      <c r="B382" s="89"/>
      <c r="D382" s="89"/>
      <c r="E382" s="90"/>
      <c r="F382" s="90"/>
    </row>
    <row r="383">
      <c r="A383" s="89"/>
      <c r="B383" s="89"/>
      <c r="D383" s="89"/>
      <c r="E383" s="90"/>
      <c r="F383" s="90"/>
    </row>
    <row r="384">
      <c r="A384" s="89"/>
      <c r="B384" s="89"/>
      <c r="D384" s="89"/>
      <c r="E384" s="90"/>
      <c r="F384" s="90"/>
    </row>
    <row r="385">
      <c r="A385" s="89"/>
      <c r="B385" s="89"/>
      <c r="D385" s="89"/>
      <c r="E385" s="90"/>
      <c r="F385" s="90"/>
    </row>
    <row r="386">
      <c r="A386" s="89"/>
      <c r="B386" s="89"/>
      <c r="D386" s="89"/>
      <c r="E386" s="90"/>
      <c r="F386" s="90"/>
    </row>
    <row r="387">
      <c r="A387" s="89"/>
      <c r="B387" s="89"/>
      <c r="D387" s="89"/>
      <c r="E387" s="90"/>
      <c r="F387" s="90"/>
    </row>
    <row r="388">
      <c r="A388" s="89"/>
      <c r="B388" s="89"/>
      <c r="D388" s="89"/>
      <c r="E388" s="90"/>
      <c r="F388" s="90"/>
    </row>
    <row r="389">
      <c r="A389" s="89"/>
      <c r="B389" s="89"/>
      <c r="D389" s="89"/>
      <c r="E389" s="90"/>
      <c r="F389" s="90"/>
    </row>
    <row r="390">
      <c r="A390" s="89"/>
      <c r="B390" s="89"/>
      <c r="D390" s="89"/>
      <c r="E390" s="90"/>
      <c r="F390" s="90"/>
    </row>
    <row r="391">
      <c r="A391" s="89"/>
      <c r="B391" s="89"/>
      <c r="D391" s="89"/>
      <c r="E391" s="90"/>
      <c r="F391" s="90"/>
    </row>
    <row r="392">
      <c r="A392" s="89"/>
      <c r="B392" s="89"/>
      <c r="D392" s="89"/>
      <c r="E392" s="90"/>
      <c r="F392" s="90"/>
    </row>
    <row r="393">
      <c r="A393" s="89"/>
      <c r="B393" s="89"/>
      <c r="D393" s="89"/>
      <c r="E393" s="90"/>
      <c r="F393" s="90"/>
    </row>
    <row r="394">
      <c r="A394" s="89"/>
      <c r="B394" s="89"/>
      <c r="D394" s="89"/>
      <c r="E394" s="90"/>
      <c r="F394" s="90"/>
    </row>
    <row r="395">
      <c r="A395" s="89"/>
      <c r="B395" s="89"/>
      <c r="D395" s="89"/>
      <c r="E395" s="90"/>
      <c r="F395" s="90"/>
    </row>
    <row r="396">
      <c r="A396" s="89"/>
      <c r="B396" s="89"/>
      <c r="D396" s="89"/>
      <c r="E396" s="90"/>
      <c r="F396" s="90"/>
    </row>
    <row r="397">
      <c r="A397" s="89"/>
      <c r="B397" s="89"/>
      <c r="D397" s="89"/>
      <c r="E397" s="90"/>
      <c r="F397" s="90"/>
    </row>
    <row r="398">
      <c r="A398" s="89"/>
      <c r="B398" s="89"/>
      <c r="D398" s="89"/>
      <c r="E398" s="90"/>
      <c r="F398" s="90"/>
    </row>
    <row r="399">
      <c r="A399" s="89"/>
      <c r="B399" s="89"/>
      <c r="D399" s="89"/>
      <c r="E399" s="90"/>
      <c r="F399" s="90"/>
    </row>
    <row r="400">
      <c r="A400" s="89"/>
      <c r="B400" s="89"/>
      <c r="D400" s="89"/>
      <c r="E400" s="90"/>
      <c r="F400" s="90"/>
    </row>
    <row r="401">
      <c r="A401" s="89"/>
      <c r="B401" s="89"/>
      <c r="D401" s="89"/>
      <c r="E401" s="90"/>
      <c r="F401" s="90"/>
    </row>
    <row r="402">
      <c r="A402" s="89"/>
      <c r="B402" s="89"/>
      <c r="D402" s="89"/>
      <c r="E402" s="90"/>
      <c r="F402" s="90"/>
    </row>
    <row r="403">
      <c r="A403" s="89"/>
      <c r="B403" s="89"/>
      <c r="D403" s="89"/>
      <c r="E403" s="90"/>
      <c r="F403" s="90"/>
    </row>
    <row r="404">
      <c r="A404" s="89"/>
      <c r="B404" s="89"/>
      <c r="D404" s="89"/>
      <c r="E404" s="90"/>
      <c r="F404" s="90"/>
    </row>
    <row r="405">
      <c r="A405" s="89"/>
      <c r="B405" s="89"/>
      <c r="D405" s="89"/>
      <c r="E405" s="90"/>
      <c r="F405" s="90"/>
    </row>
    <row r="406">
      <c r="A406" s="89"/>
      <c r="B406" s="89"/>
      <c r="D406" s="89"/>
      <c r="E406" s="90"/>
      <c r="F406" s="90"/>
    </row>
    <row r="407">
      <c r="A407" s="89"/>
      <c r="B407" s="89"/>
      <c r="D407" s="89"/>
      <c r="E407" s="90"/>
      <c r="F407" s="90"/>
    </row>
    <row r="408">
      <c r="A408" s="89"/>
      <c r="B408" s="89"/>
      <c r="D408" s="89"/>
      <c r="E408" s="90"/>
      <c r="F408" s="90"/>
    </row>
    <row r="409">
      <c r="A409" s="89"/>
      <c r="B409" s="89"/>
      <c r="D409" s="89"/>
      <c r="E409" s="90"/>
      <c r="F409" s="90"/>
    </row>
    <row r="410">
      <c r="A410" s="89"/>
      <c r="B410" s="89"/>
      <c r="D410" s="89"/>
      <c r="E410" s="90"/>
      <c r="F410" s="90"/>
    </row>
    <row r="411">
      <c r="A411" s="89"/>
      <c r="B411" s="89"/>
      <c r="D411" s="89"/>
      <c r="E411" s="90"/>
      <c r="F411" s="90"/>
    </row>
    <row r="412">
      <c r="A412" s="89"/>
      <c r="B412" s="89"/>
      <c r="D412" s="89"/>
      <c r="E412" s="90"/>
      <c r="F412" s="90"/>
    </row>
    <row r="413">
      <c r="A413" s="89"/>
      <c r="B413" s="89"/>
      <c r="D413" s="89"/>
      <c r="E413" s="90"/>
      <c r="F413" s="90"/>
    </row>
    <row r="414">
      <c r="A414" s="89"/>
      <c r="B414" s="89"/>
      <c r="D414" s="89"/>
      <c r="E414" s="90"/>
      <c r="F414" s="90"/>
    </row>
    <row r="415">
      <c r="A415" s="89"/>
      <c r="B415" s="89"/>
      <c r="D415" s="89"/>
      <c r="E415" s="90"/>
      <c r="F415" s="90"/>
    </row>
    <row r="416">
      <c r="A416" s="89"/>
      <c r="B416" s="89"/>
      <c r="D416" s="89"/>
      <c r="E416" s="90"/>
      <c r="F416" s="90"/>
    </row>
    <row r="417">
      <c r="A417" s="89"/>
      <c r="B417" s="89"/>
      <c r="D417" s="89"/>
      <c r="E417" s="90"/>
      <c r="F417" s="90"/>
    </row>
    <row r="418">
      <c r="A418" s="89"/>
      <c r="B418" s="89"/>
      <c r="D418" s="89"/>
      <c r="E418" s="90"/>
      <c r="F418" s="90"/>
    </row>
    <row r="419">
      <c r="A419" s="89"/>
      <c r="B419" s="89"/>
      <c r="D419" s="89"/>
      <c r="E419" s="90"/>
      <c r="F419" s="90"/>
    </row>
    <row r="420">
      <c r="A420" s="89"/>
      <c r="B420" s="89"/>
      <c r="D420" s="89"/>
      <c r="E420" s="90"/>
      <c r="F420" s="90"/>
    </row>
    <row r="421">
      <c r="A421" s="89"/>
      <c r="B421" s="89"/>
      <c r="D421" s="89"/>
      <c r="E421" s="90"/>
      <c r="F421" s="90"/>
    </row>
    <row r="422">
      <c r="A422" s="89"/>
      <c r="B422" s="89"/>
      <c r="D422" s="89"/>
      <c r="E422" s="90"/>
      <c r="F422" s="90"/>
    </row>
    <row r="423">
      <c r="A423" s="89"/>
      <c r="B423" s="89"/>
      <c r="D423" s="89"/>
      <c r="E423" s="90"/>
      <c r="F423" s="90"/>
    </row>
    <row r="424">
      <c r="A424" s="89"/>
      <c r="B424" s="89"/>
      <c r="D424" s="89"/>
      <c r="E424" s="90"/>
      <c r="F424" s="90"/>
    </row>
    <row r="425">
      <c r="A425" s="89"/>
      <c r="B425" s="89"/>
      <c r="D425" s="89"/>
      <c r="E425" s="90"/>
      <c r="F425" s="90"/>
    </row>
    <row r="426">
      <c r="A426" s="89"/>
      <c r="B426" s="89"/>
      <c r="D426" s="89"/>
      <c r="E426" s="90"/>
      <c r="F426" s="90"/>
    </row>
    <row r="427">
      <c r="A427" s="89"/>
      <c r="B427" s="89"/>
      <c r="D427" s="89"/>
      <c r="E427" s="90"/>
      <c r="F427" s="90"/>
    </row>
    <row r="428">
      <c r="A428" s="89"/>
      <c r="B428" s="89"/>
      <c r="D428" s="89"/>
      <c r="E428" s="90"/>
      <c r="F428" s="90"/>
    </row>
    <row r="429">
      <c r="A429" s="89"/>
      <c r="B429" s="89"/>
      <c r="D429" s="89"/>
      <c r="E429" s="90"/>
      <c r="F429" s="90"/>
    </row>
    <row r="430">
      <c r="A430" s="89"/>
      <c r="B430" s="89"/>
      <c r="D430" s="89"/>
      <c r="E430" s="90"/>
      <c r="F430" s="90"/>
    </row>
    <row r="431">
      <c r="A431" s="89"/>
      <c r="B431" s="89"/>
      <c r="D431" s="89"/>
      <c r="E431" s="90"/>
      <c r="F431" s="90"/>
    </row>
    <row r="432">
      <c r="A432" s="89"/>
      <c r="B432" s="89"/>
      <c r="D432" s="89"/>
      <c r="E432" s="90"/>
      <c r="F432" s="90"/>
    </row>
    <row r="433">
      <c r="A433" s="89"/>
      <c r="B433" s="89"/>
      <c r="D433" s="89"/>
      <c r="E433" s="90"/>
      <c r="F433" s="90"/>
    </row>
    <row r="434">
      <c r="A434" s="89"/>
      <c r="B434" s="89"/>
      <c r="D434" s="89"/>
      <c r="E434" s="90"/>
      <c r="F434" s="90"/>
    </row>
    <row r="435">
      <c r="A435" s="89"/>
      <c r="B435" s="89"/>
      <c r="D435" s="89"/>
      <c r="E435" s="90"/>
      <c r="F435" s="90"/>
    </row>
    <row r="436">
      <c r="A436" s="89"/>
      <c r="B436" s="89"/>
      <c r="D436" s="89"/>
      <c r="E436" s="90"/>
      <c r="F436" s="90"/>
    </row>
    <row r="437">
      <c r="A437" s="89"/>
      <c r="B437" s="89"/>
      <c r="D437" s="89"/>
      <c r="E437" s="90"/>
      <c r="F437" s="90"/>
    </row>
    <row r="438">
      <c r="A438" s="89"/>
      <c r="B438" s="89"/>
      <c r="D438" s="89"/>
      <c r="E438" s="90"/>
      <c r="F438" s="90"/>
    </row>
    <row r="439">
      <c r="A439" s="89"/>
      <c r="B439" s="89"/>
      <c r="D439" s="89"/>
      <c r="E439" s="90"/>
      <c r="F439" s="90"/>
    </row>
    <row r="440">
      <c r="A440" s="89"/>
      <c r="B440" s="89"/>
      <c r="D440" s="89"/>
      <c r="E440" s="90"/>
      <c r="F440" s="90"/>
    </row>
    <row r="441">
      <c r="A441" s="89"/>
      <c r="B441" s="89"/>
      <c r="D441" s="89"/>
      <c r="E441" s="90"/>
      <c r="F441" s="90"/>
    </row>
    <row r="442">
      <c r="A442" s="89"/>
      <c r="B442" s="89"/>
      <c r="D442" s="89"/>
      <c r="E442" s="90"/>
      <c r="F442" s="90"/>
    </row>
    <row r="443">
      <c r="A443" s="89"/>
      <c r="B443" s="89"/>
      <c r="D443" s="89"/>
      <c r="E443" s="90"/>
      <c r="F443" s="90"/>
    </row>
    <row r="444">
      <c r="A444" s="89"/>
      <c r="B444" s="89"/>
      <c r="D444" s="89"/>
      <c r="E444" s="90"/>
      <c r="F444" s="90"/>
    </row>
    <row r="445">
      <c r="A445" s="89"/>
      <c r="B445" s="89"/>
      <c r="D445" s="89"/>
      <c r="E445" s="90"/>
      <c r="F445" s="90"/>
    </row>
    <row r="446">
      <c r="A446" s="89"/>
      <c r="B446" s="89"/>
      <c r="D446" s="89"/>
      <c r="E446" s="90"/>
      <c r="F446" s="90"/>
    </row>
    <row r="447">
      <c r="A447" s="89"/>
      <c r="B447" s="89"/>
      <c r="D447" s="89"/>
      <c r="E447" s="90"/>
      <c r="F447" s="90"/>
    </row>
    <row r="448">
      <c r="A448" s="89"/>
      <c r="B448" s="89"/>
      <c r="D448" s="89"/>
      <c r="E448" s="90"/>
      <c r="F448" s="90"/>
    </row>
    <row r="449">
      <c r="A449" s="89"/>
      <c r="B449" s="89"/>
      <c r="D449" s="89"/>
      <c r="E449" s="90"/>
      <c r="F449" s="90"/>
    </row>
    <row r="450">
      <c r="A450" s="89"/>
      <c r="B450" s="89"/>
      <c r="D450" s="89"/>
      <c r="E450" s="90"/>
      <c r="F450" s="90"/>
    </row>
    <row r="451">
      <c r="A451" s="89"/>
      <c r="B451" s="89"/>
      <c r="D451" s="89"/>
      <c r="E451" s="90"/>
      <c r="F451" s="90"/>
    </row>
    <row r="452">
      <c r="A452" s="89"/>
      <c r="B452" s="89"/>
      <c r="D452" s="89"/>
      <c r="E452" s="90"/>
      <c r="F452" s="90"/>
    </row>
    <row r="453">
      <c r="A453" s="89"/>
      <c r="B453" s="89"/>
      <c r="D453" s="89"/>
      <c r="E453" s="90"/>
      <c r="F453" s="90"/>
    </row>
    <row r="454">
      <c r="A454" s="89"/>
      <c r="B454" s="89"/>
      <c r="D454" s="89"/>
      <c r="E454" s="90"/>
      <c r="F454" s="90"/>
    </row>
    <row r="455">
      <c r="A455" s="89"/>
      <c r="B455" s="89"/>
      <c r="D455" s="89"/>
      <c r="E455" s="90"/>
      <c r="F455" s="90"/>
    </row>
    <row r="456">
      <c r="A456" s="89"/>
      <c r="B456" s="89"/>
      <c r="D456" s="89"/>
      <c r="E456" s="90"/>
      <c r="F456" s="90"/>
    </row>
    <row r="457">
      <c r="A457" s="89"/>
      <c r="B457" s="89"/>
      <c r="D457" s="89"/>
      <c r="E457" s="90"/>
      <c r="F457" s="90"/>
    </row>
    <row r="458">
      <c r="A458" s="89"/>
      <c r="B458" s="89"/>
      <c r="D458" s="89"/>
      <c r="E458" s="90"/>
      <c r="F458" s="90"/>
    </row>
    <row r="459">
      <c r="A459" s="89"/>
      <c r="B459" s="89"/>
      <c r="D459" s="89"/>
      <c r="E459" s="90"/>
      <c r="F459" s="90"/>
    </row>
    <row r="460">
      <c r="A460" s="89"/>
      <c r="B460" s="89"/>
      <c r="D460" s="89"/>
      <c r="E460" s="90"/>
      <c r="F460" s="90"/>
    </row>
    <row r="461">
      <c r="A461" s="89"/>
      <c r="B461" s="89"/>
      <c r="D461" s="89"/>
      <c r="E461" s="90"/>
      <c r="F461" s="90"/>
    </row>
    <row r="462">
      <c r="A462" s="89"/>
      <c r="B462" s="89"/>
      <c r="D462" s="89"/>
      <c r="E462" s="90"/>
      <c r="F462" s="90"/>
    </row>
    <row r="463">
      <c r="A463" s="89"/>
      <c r="B463" s="89"/>
      <c r="D463" s="89"/>
      <c r="E463" s="90"/>
      <c r="F463" s="90"/>
    </row>
    <row r="464">
      <c r="A464" s="89"/>
      <c r="B464" s="89"/>
      <c r="D464" s="89"/>
      <c r="E464" s="90"/>
      <c r="F464" s="90"/>
    </row>
    <row r="465">
      <c r="A465" s="89"/>
      <c r="B465" s="89"/>
      <c r="D465" s="89"/>
      <c r="E465" s="90"/>
      <c r="F465" s="90"/>
    </row>
    <row r="466">
      <c r="A466" s="89"/>
      <c r="B466" s="89"/>
      <c r="D466" s="89"/>
      <c r="E466" s="90"/>
      <c r="F466" s="90"/>
    </row>
    <row r="467">
      <c r="A467" s="89"/>
      <c r="B467" s="89"/>
      <c r="D467" s="89"/>
      <c r="E467" s="90"/>
      <c r="F467" s="90"/>
    </row>
    <row r="468">
      <c r="A468" s="89"/>
      <c r="B468" s="89"/>
      <c r="D468" s="89"/>
      <c r="E468" s="90"/>
      <c r="F468" s="90"/>
    </row>
    <row r="469">
      <c r="A469" s="89"/>
      <c r="B469" s="89"/>
      <c r="D469" s="89"/>
      <c r="E469" s="90"/>
      <c r="F469" s="90"/>
    </row>
    <row r="470">
      <c r="A470" s="89"/>
      <c r="B470" s="89"/>
      <c r="D470" s="89"/>
      <c r="E470" s="90"/>
      <c r="F470" s="90"/>
    </row>
    <row r="471">
      <c r="A471" s="89"/>
      <c r="B471" s="89"/>
      <c r="D471" s="89"/>
      <c r="E471" s="90"/>
      <c r="F471" s="90"/>
    </row>
    <row r="472">
      <c r="A472" s="89"/>
      <c r="B472" s="89"/>
      <c r="D472" s="89"/>
      <c r="E472" s="90"/>
      <c r="F472" s="90"/>
    </row>
    <row r="473">
      <c r="A473" s="89"/>
      <c r="B473" s="89"/>
      <c r="D473" s="89"/>
      <c r="E473" s="90"/>
      <c r="F473" s="90"/>
    </row>
    <row r="474">
      <c r="A474" s="89"/>
      <c r="B474" s="89"/>
      <c r="D474" s="89"/>
      <c r="E474" s="90"/>
      <c r="F474" s="90"/>
    </row>
    <row r="475">
      <c r="A475" s="89"/>
      <c r="B475" s="89"/>
      <c r="D475" s="89"/>
      <c r="E475" s="90"/>
      <c r="F475" s="90"/>
    </row>
    <row r="476">
      <c r="A476" s="89"/>
      <c r="B476" s="89"/>
      <c r="D476" s="89"/>
      <c r="E476" s="90"/>
      <c r="F476" s="90"/>
    </row>
    <row r="477">
      <c r="A477" s="89"/>
      <c r="B477" s="89"/>
      <c r="D477" s="89"/>
      <c r="E477" s="90"/>
      <c r="F477" s="90"/>
    </row>
    <row r="478">
      <c r="A478" s="89"/>
      <c r="B478" s="89"/>
      <c r="D478" s="89"/>
      <c r="E478" s="90"/>
      <c r="F478" s="90"/>
    </row>
    <row r="479">
      <c r="A479" s="89"/>
      <c r="B479" s="89"/>
      <c r="D479" s="89"/>
      <c r="E479" s="90"/>
      <c r="F479" s="90"/>
    </row>
    <row r="480">
      <c r="A480" s="89"/>
      <c r="B480" s="89"/>
      <c r="D480" s="89"/>
      <c r="E480" s="90"/>
      <c r="F480" s="90"/>
    </row>
    <row r="481">
      <c r="A481" s="89"/>
      <c r="B481" s="89"/>
      <c r="D481" s="89"/>
      <c r="E481" s="90"/>
      <c r="F481" s="90"/>
    </row>
    <row r="482">
      <c r="A482" s="89"/>
      <c r="B482" s="89"/>
      <c r="D482" s="89"/>
      <c r="E482" s="90"/>
      <c r="F482" s="90"/>
    </row>
    <row r="483">
      <c r="A483" s="89"/>
      <c r="B483" s="89"/>
      <c r="D483" s="89"/>
      <c r="E483" s="90"/>
      <c r="F483" s="90"/>
    </row>
    <row r="484">
      <c r="A484" s="89"/>
      <c r="B484" s="89"/>
      <c r="D484" s="89"/>
      <c r="E484" s="90"/>
      <c r="F484" s="90"/>
    </row>
    <row r="485">
      <c r="A485" s="89"/>
      <c r="B485" s="89"/>
      <c r="D485" s="89"/>
      <c r="E485" s="90"/>
      <c r="F485" s="90"/>
    </row>
    <row r="486">
      <c r="A486" s="89"/>
      <c r="B486" s="89"/>
      <c r="D486" s="89"/>
      <c r="E486" s="90"/>
      <c r="F486" s="90"/>
    </row>
    <row r="487">
      <c r="A487" s="89"/>
      <c r="B487" s="89"/>
      <c r="D487" s="89"/>
      <c r="E487" s="90"/>
      <c r="F487" s="90"/>
    </row>
    <row r="488">
      <c r="A488" s="89"/>
      <c r="B488" s="89"/>
      <c r="D488" s="89"/>
      <c r="E488" s="90"/>
      <c r="F488" s="90"/>
    </row>
    <row r="489">
      <c r="A489" s="89"/>
      <c r="B489" s="89"/>
      <c r="D489" s="89"/>
      <c r="E489" s="90"/>
      <c r="F489" s="90"/>
    </row>
    <row r="490">
      <c r="A490" s="89"/>
      <c r="B490" s="89"/>
      <c r="D490" s="89"/>
      <c r="E490" s="90"/>
      <c r="F490" s="90"/>
    </row>
    <row r="491">
      <c r="A491" s="89"/>
      <c r="B491" s="89"/>
      <c r="D491" s="89"/>
      <c r="E491" s="90"/>
      <c r="F491" s="90"/>
    </row>
    <row r="492">
      <c r="A492" s="89"/>
      <c r="B492" s="89"/>
      <c r="D492" s="89"/>
      <c r="E492" s="90"/>
      <c r="F492" s="90"/>
    </row>
    <row r="493">
      <c r="A493" s="89"/>
      <c r="B493" s="89"/>
      <c r="D493" s="89"/>
      <c r="E493" s="90"/>
      <c r="F493" s="90"/>
    </row>
    <row r="494">
      <c r="A494" s="89"/>
      <c r="B494" s="89"/>
      <c r="D494" s="89"/>
      <c r="E494" s="90"/>
      <c r="F494" s="90"/>
    </row>
    <row r="495">
      <c r="A495" s="89"/>
      <c r="B495" s="89"/>
      <c r="D495" s="89"/>
      <c r="E495" s="90"/>
      <c r="F495" s="90"/>
    </row>
    <row r="496">
      <c r="A496" s="89"/>
      <c r="B496" s="89"/>
      <c r="D496" s="89"/>
      <c r="E496" s="90"/>
      <c r="F496" s="90"/>
    </row>
    <row r="497">
      <c r="A497" s="89"/>
      <c r="B497" s="89"/>
      <c r="D497" s="89"/>
      <c r="E497" s="90"/>
      <c r="F497" s="90"/>
    </row>
    <row r="498">
      <c r="A498" s="89"/>
      <c r="B498" s="89"/>
      <c r="D498" s="89"/>
      <c r="E498" s="90"/>
      <c r="F498" s="90"/>
    </row>
    <row r="499">
      <c r="A499" s="89"/>
      <c r="B499" s="89"/>
      <c r="D499" s="89"/>
      <c r="E499" s="90"/>
      <c r="F499" s="90"/>
    </row>
    <row r="500">
      <c r="A500" s="89"/>
      <c r="B500" s="89"/>
      <c r="D500" s="89"/>
      <c r="E500" s="90"/>
      <c r="F500" s="90"/>
    </row>
    <row r="501">
      <c r="A501" s="89"/>
      <c r="B501" s="89"/>
      <c r="D501" s="89"/>
      <c r="E501" s="90"/>
      <c r="F501" s="90"/>
    </row>
    <row r="502">
      <c r="A502" s="89"/>
      <c r="B502" s="89"/>
      <c r="D502" s="89"/>
      <c r="E502" s="90"/>
      <c r="F502" s="90"/>
    </row>
    <row r="503">
      <c r="A503" s="89"/>
      <c r="B503" s="89"/>
      <c r="D503" s="89"/>
      <c r="E503" s="90"/>
      <c r="F503" s="90"/>
    </row>
    <row r="504">
      <c r="A504" s="89"/>
      <c r="B504" s="89"/>
      <c r="D504" s="89"/>
      <c r="E504" s="90"/>
      <c r="F504" s="90"/>
    </row>
    <row r="505">
      <c r="A505" s="89"/>
      <c r="B505" s="89"/>
      <c r="D505" s="89"/>
      <c r="E505" s="90"/>
      <c r="F505" s="90"/>
    </row>
    <row r="506">
      <c r="A506" s="89"/>
      <c r="B506" s="89"/>
      <c r="D506" s="89"/>
      <c r="E506" s="90"/>
      <c r="F506" s="90"/>
    </row>
    <row r="507">
      <c r="A507" s="89"/>
      <c r="B507" s="89"/>
      <c r="D507" s="89"/>
      <c r="E507" s="90"/>
      <c r="F507" s="90"/>
    </row>
    <row r="508">
      <c r="A508" s="89"/>
      <c r="B508" s="89"/>
      <c r="D508" s="89"/>
      <c r="E508" s="90"/>
      <c r="F508" s="90"/>
    </row>
    <row r="509">
      <c r="A509" s="89"/>
      <c r="B509" s="89"/>
      <c r="D509" s="89"/>
      <c r="E509" s="90"/>
      <c r="F509" s="90"/>
    </row>
    <row r="510">
      <c r="A510" s="89"/>
      <c r="B510" s="89"/>
      <c r="D510" s="89"/>
      <c r="E510" s="90"/>
      <c r="F510" s="90"/>
    </row>
    <row r="511">
      <c r="A511" s="89"/>
      <c r="B511" s="89"/>
      <c r="D511" s="89"/>
      <c r="E511" s="90"/>
      <c r="F511" s="90"/>
    </row>
    <row r="512">
      <c r="A512" s="89"/>
      <c r="B512" s="89"/>
      <c r="D512" s="89"/>
      <c r="E512" s="90"/>
      <c r="F512" s="90"/>
    </row>
    <row r="513">
      <c r="A513" s="89"/>
      <c r="B513" s="89"/>
      <c r="D513" s="89"/>
      <c r="E513" s="90"/>
      <c r="F513" s="90"/>
    </row>
    <row r="514">
      <c r="A514" s="89"/>
      <c r="B514" s="89"/>
      <c r="D514" s="89"/>
      <c r="E514" s="90"/>
      <c r="F514" s="90"/>
    </row>
    <row r="515">
      <c r="A515" s="89"/>
      <c r="B515" s="89"/>
      <c r="D515" s="89"/>
      <c r="E515" s="90"/>
      <c r="F515" s="90"/>
    </row>
    <row r="516">
      <c r="A516" s="89"/>
      <c r="B516" s="89"/>
      <c r="D516" s="89"/>
      <c r="E516" s="90"/>
      <c r="F516" s="90"/>
    </row>
    <row r="517">
      <c r="A517" s="89"/>
      <c r="B517" s="89"/>
      <c r="D517" s="89"/>
      <c r="E517" s="90"/>
      <c r="F517" s="90"/>
    </row>
    <row r="518">
      <c r="A518" s="89"/>
      <c r="B518" s="89"/>
      <c r="D518" s="89"/>
      <c r="E518" s="90"/>
      <c r="F518" s="90"/>
    </row>
    <row r="519">
      <c r="A519" s="89"/>
      <c r="B519" s="89"/>
      <c r="D519" s="89"/>
      <c r="E519" s="90"/>
      <c r="F519" s="90"/>
    </row>
    <row r="520">
      <c r="A520" s="89"/>
      <c r="B520" s="89"/>
      <c r="D520" s="89"/>
      <c r="E520" s="90"/>
      <c r="F520" s="90"/>
    </row>
    <row r="521">
      <c r="A521" s="89"/>
      <c r="B521" s="89"/>
      <c r="D521" s="89"/>
      <c r="E521" s="90"/>
      <c r="F521" s="90"/>
    </row>
    <row r="522">
      <c r="A522" s="89"/>
      <c r="B522" s="89"/>
      <c r="D522" s="89"/>
      <c r="E522" s="90"/>
      <c r="F522" s="90"/>
    </row>
    <row r="523">
      <c r="A523" s="89"/>
      <c r="B523" s="89"/>
      <c r="D523" s="89"/>
      <c r="E523" s="90"/>
      <c r="F523" s="90"/>
    </row>
    <row r="524">
      <c r="A524" s="89"/>
      <c r="B524" s="89"/>
      <c r="D524" s="89"/>
      <c r="E524" s="90"/>
      <c r="F524" s="90"/>
    </row>
    <row r="525">
      <c r="A525" s="89"/>
      <c r="B525" s="89"/>
      <c r="D525" s="89"/>
      <c r="E525" s="90"/>
      <c r="F525" s="90"/>
    </row>
    <row r="526">
      <c r="A526" s="89"/>
      <c r="B526" s="89"/>
      <c r="D526" s="89"/>
      <c r="E526" s="90"/>
      <c r="F526" s="90"/>
    </row>
    <row r="527">
      <c r="A527" s="89"/>
      <c r="B527" s="89"/>
      <c r="D527" s="89"/>
      <c r="E527" s="90"/>
      <c r="F527" s="90"/>
    </row>
    <row r="528">
      <c r="A528" s="89"/>
      <c r="B528" s="89"/>
      <c r="D528" s="89"/>
      <c r="E528" s="90"/>
      <c r="F528" s="90"/>
    </row>
    <row r="529">
      <c r="A529" s="89"/>
      <c r="B529" s="89"/>
      <c r="D529" s="89"/>
      <c r="E529" s="90"/>
      <c r="F529" s="90"/>
    </row>
    <row r="530">
      <c r="A530" s="89"/>
      <c r="B530" s="89"/>
      <c r="D530" s="89"/>
      <c r="E530" s="90"/>
      <c r="F530" s="90"/>
    </row>
    <row r="531">
      <c r="A531" s="89"/>
      <c r="B531" s="89"/>
      <c r="D531" s="89"/>
      <c r="E531" s="90"/>
      <c r="F531" s="90"/>
    </row>
    <row r="532">
      <c r="A532" s="89"/>
      <c r="B532" s="89"/>
      <c r="D532" s="89"/>
      <c r="E532" s="90"/>
      <c r="F532" s="90"/>
    </row>
    <row r="533">
      <c r="A533" s="89"/>
      <c r="B533" s="89"/>
      <c r="D533" s="89"/>
      <c r="E533" s="90"/>
      <c r="F533" s="90"/>
    </row>
    <row r="534">
      <c r="A534" s="89"/>
      <c r="B534" s="89"/>
      <c r="D534" s="89"/>
      <c r="E534" s="90"/>
      <c r="F534" s="90"/>
    </row>
    <row r="535">
      <c r="A535" s="89"/>
      <c r="B535" s="89"/>
      <c r="D535" s="89"/>
      <c r="E535" s="90"/>
      <c r="F535" s="90"/>
    </row>
    <row r="536">
      <c r="A536" s="89"/>
      <c r="B536" s="89"/>
      <c r="D536" s="89"/>
      <c r="E536" s="90"/>
      <c r="F536" s="90"/>
    </row>
    <row r="537">
      <c r="A537" s="89"/>
      <c r="B537" s="89"/>
      <c r="D537" s="89"/>
      <c r="E537" s="90"/>
      <c r="F537" s="90"/>
    </row>
    <row r="538">
      <c r="A538" s="89"/>
      <c r="B538" s="89"/>
      <c r="D538" s="89"/>
      <c r="E538" s="90"/>
      <c r="F538" s="90"/>
    </row>
    <row r="539">
      <c r="A539" s="89"/>
      <c r="B539" s="89"/>
      <c r="D539" s="89"/>
      <c r="E539" s="90"/>
      <c r="F539" s="90"/>
    </row>
    <row r="540">
      <c r="A540" s="89"/>
      <c r="B540" s="89"/>
      <c r="D540" s="89"/>
      <c r="E540" s="90"/>
      <c r="F540" s="90"/>
    </row>
    <row r="541">
      <c r="A541" s="89"/>
      <c r="B541" s="89"/>
      <c r="D541" s="89"/>
      <c r="E541" s="90"/>
      <c r="F541" s="90"/>
    </row>
    <row r="542">
      <c r="A542" s="89"/>
      <c r="B542" s="89"/>
      <c r="D542" s="89"/>
      <c r="E542" s="90"/>
      <c r="F542" s="90"/>
    </row>
    <row r="543">
      <c r="A543" s="89"/>
      <c r="B543" s="89"/>
      <c r="D543" s="89"/>
      <c r="E543" s="90"/>
      <c r="F543" s="90"/>
    </row>
    <row r="544">
      <c r="A544" s="89"/>
      <c r="B544" s="89"/>
      <c r="D544" s="89"/>
      <c r="E544" s="90"/>
      <c r="F544" s="90"/>
    </row>
    <row r="545">
      <c r="A545" s="89"/>
      <c r="B545" s="89"/>
      <c r="D545" s="89"/>
      <c r="E545" s="90"/>
      <c r="F545" s="90"/>
    </row>
    <row r="546">
      <c r="A546" s="89"/>
      <c r="B546" s="89"/>
      <c r="D546" s="89"/>
      <c r="E546" s="90"/>
      <c r="F546" s="90"/>
    </row>
    <row r="547">
      <c r="A547" s="89"/>
      <c r="B547" s="89"/>
      <c r="D547" s="89"/>
      <c r="E547" s="90"/>
      <c r="F547" s="90"/>
    </row>
    <row r="548">
      <c r="A548" s="89"/>
      <c r="B548" s="89"/>
      <c r="D548" s="89"/>
      <c r="E548" s="90"/>
      <c r="F548" s="90"/>
    </row>
    <row r="549">
      <c r="A549" s="89"/>
      <c r="B549" s="89"/>
      <c r="D549" s="89"/>
      <c r="E549" s="90"/>
      <c r="F549" s="90"/>
    </row>
    <row r="550">
      <c r="A550" s="89"/>
      <c r="B550" s="89"/>
      <c r="D550" s="89"/>
      <c r="E550" s="90"/>
      <c r="F550" s="90"/>
    </row>
    <row r="551">
      <c r="A551" s="89"/>
      <c r="B551" s="89"/>
      <c r="D551" s="89"/>
      <c r="E551" s="90"/>
      <c r="F551" s="90"/>
    </row>
    <row r="552">
      <c r="A552" s="89"/>
      <c r="B552" s="89"/>
      <c r="D552" s="89"/>
      <c r="E552" s="90"/>
      <c r="F552" s="90"/>
    </row>
    <row r="553">
      <c r="A553" s="89"/>
      <c r="B553" s="89"/>
      <c r="D553" s="89"/>
      <c r="E553" s="90"/>
      <c r="F553" s="90"/>
    </row>
    <row r="554">
      <c r="A554" s="89"/>
      <c r="B554" s="89"/>
      <c r="D554" s="89"/>
      <c r="E554" s="90"/>
      <c r="F554" s="90"/>
    </row>
    <row r="555">
      <c r="A555" s="89"/>
      <c r="B555" s="89"/>
      <c r="D555" s="89"/>
      <c r="E555" s="90"/>
      <c r="F555" s="90"/>
    </row>
    <row r="556">
      <c r="A556" s="89"/>
      <c r="B556" s="89"/>
      <c r="D556" s="89"/>
      <c r="E556" s="90"/>
      <c r="F556" s="90"/>
    </row>
    <row r="557">
      <c r="A557" s="89"/>
      <c r="B557" s="89"/>
      <c r="D557" s="89"/>
      <c r="E557" s="90"/>
      <c r="F557" s="90"/>
    </row>
    <row r="558">
      <c r="A558" s="89"/>
      <c r="B558" s="89"/>
      <c r="D558" s="89"/>
      <c r="E558" s="90"/>
      <c r="F558" s="90"/>
    </row>
    <row r="559">
      <c r="A559" s="89"/>
      <c r="B559" s="89"/>
      <c r="D559" s="89"/>
      <c r="E559" s="90"/>
      <c r="F559" s="90"/>
    </row>
    <row r="560">
      <c r="A560" s="89"/>
      <c r="B560" s="89"/>
      <c r="D560" s="89"/>
      <c r="E560" s="90"/>
      <c r="F560" s="90"/>
    </row>
    <row r="561">
      <c r="A561" s="89"/>
      <c r="B561" s="89"/>
      <c r="D561" s="89"/>
      <c r="E561" s="90"/>
      <c r="F561" s="90"/>
    </row>
    <row r="562">
      <c r="A562" s="89"/>
      <c r="B562" s="89"/>
      <c r="D562" s="89"/>
      <c r="E562" s="90"/>
      <c r="F562" s="90"/>
    </row>
    <row r="563">
      <c r="A563" s="89"/>
      <c r="B563" s="89"/>
      <c r="D563" s="89"/>
      <c r="E563" s="90"/>
      <c r="F563" s="90"/>
    </row>
    <row r="564">
      <c r="A564" s="89"/>
      <c r="B564" s="89"/>
      <c r="D564" s="89"/>
      <c r="E564" s="90"/>
      <c r="F564" s="90"/>
    </row>
    <row r="565">
      <c r="A565" s="89"/>
      <c r="B565" s="89"/>
      <c r="D565" s="89"/>
      <c r="E565" s="90"/>
      <c r="F565" s="90"/>
    </row>
    <row r="566">
      <c r="A566" s="89"/>
      <c r="B566" s="89"/>
      <c r="D566" s="89"/>
      <c r="E566" s="90"/>
      <c r="F566" s="90"/>
    </row>
    <row r="567">
      <c r="A567" s="89"/>
      <c r="B567" s="89"/>
      <c r="D567" s="89"/>
      <c r="E567" s="90"/>
      <c r="F567" s="90"/>
    </row>
    <row r="568">
      <c r="A568" s="89"/>
      <c r="B568" s="89"/>
      <c r="D568" s="89"/>
      <c r="E568" s="90"/>
      <c r="F568" s="90"/>
    </row>
    <row r="569">
      <c r="A569" s="89"/>
      <c r="B569" s="89"/>
      <c r="D569" s="89"/>
      <c r="E569" s="90"/>
      <c r="F569" s="90"/>
    </row>
    <row r="570">
      <c r="A570" s="89"/>
      <c r="B570" s="89"/>
      <c r="D570" s="89"/>
      <c r="E570" s="90"/>
      <c r="F570" s="90"/>
    </row>
    <row r="571">
      <c r="A571" s="89"/>
      <c r="B571" s="89"/>
      <c r="D571" s="89"/>
      <c r="E571" s="90"/>
      <c r="F571" s="90"/>
    </row>
    <row r="572">
      <c r="A572" s="89"/>
      <c r="B572" s="89"/>
      <c r="D572" s="89"/>
      <c r="E572" s="90"/>
      <c r="F572" s="90"/>
    </row>
    <row r="573">
      <c r="A573" s="89"/>
      <c r="B573" s="89"/>
      <c r="D573" s="89"/>
      <c r="E573" s="90"/>
      <c r="F573" s="90"/>
    </row>
    <row r="574">
      <c r="A574" s="89"/>
      <c r="B574" s="89"/>
      <c r="D574" s="89"/>
      <c r="E574" s="90"/>
      <c r="F574" s="90"/>
    </row>
    <row r="575">
      <c r="A575" s="89"/>
      <c r="B575" s="89"/>
      <c r="D575" s="89"/>
      <c r="E575" s="90"/>
      <c r="F575" s="90"/>
    </row>
    <row r="576">
      <c r="A576" s="89"/>
      <c r="B576" s="89"/>
      <c r="D576" s="89"/>
      <c r="E576" s="90"/>
      <c r="F576" s="90"/>
    </row>
    <row r="577">
      <c r="A577" s="89"/>
      <c r="B577" s="89"/>
      <c r="D577" s="89"/>
      <c r="E577" s="90"/>
      <c r="F577" s="90"/>
    </row>
    <row r="578">
      <c r="A578" s="89"/>
      <c r="B578" s="89"/>
      <c r="D578" s="89"/>
      <c r="E578" s="90"/>
      <c r="F578" s="90"/>
    </row>
    <row r="579">
      <c r="A579" s="89"/>
      <c r="B579" s="89"/>
      <c r="D579" s="89"/>
      <c r="E579" s="90"/>
      <c r="F579" s="90"/>
    </row>
    <row r="580">
      <c r="A580" s="89"/>
      <c r="B580" s="89"/>
      <c r="D580" s="89"/>
      <c r="E580" s="90"/>
      <c r="F580" s="90"/>
    </row>
    <row r="581">
      <c r="A581" s="89"/>
      <c r="B581" s="89"/>
      <c r="D581" s="89"/>
      <c r="E581" s="90"/>
      <c r="F581" s="90"/>
    </row>
    <row r="582">
      <c r="A582" s="89"/>
      <c r="B582" s="89"/>
      <c r="D582" s="89"/>
      <c r="E582" s="90"/>
      <c r="F582" s="90"/>
    </row>
    <row r="583">
      <c r="A583" s="89"/>
      <c r="B583" s="89"/>
      <c r="D583" s="89"/>
      <c r="E583" s="90"/>
      <c r="F583" s="90"/>
    </row>
    <row r="584">
      <c r="A584" s="89"/>
      <c r="B584" s="89"/>
      <c r="D584" s="89"/>
      <c r="E584" s="90"/>
      <c r="F584" s="90"/>
    </row>
    <row r="585">
      <c r="A585" s="89"/>
      <c r="B585" s="89"/>
      <c r="D585" s="89"/>
      <c r="E585" s="90"/>
      <c r="F585" s="90"/>
    </row>
    <row r="586">
      <c r="A586" s="89"/>
      <c r="B586" s="89"/>
      <c r="D586" s="89"/>
      <c r="E586" s="90"/>
      <c r="F586" s="90"/>
    </row>
    <row r="587">
      <c r="A587" s="89"/>
      <c r="B587" s="89"/>
      <c r="D587" s="89"/>
      <c r="E587" s="90"/>
      <c r="F587" s="90"/>
    </row>
    <row r="588">
      <c r="A588" s="89"/>
      <c r="B588" s="89"/>
      <c r="D588" s="89"/>
      <c r="E588" s="90"/>
      <c r="F588" s="90"/>
    </row>
    <row r="589">
      <c r="A589" s="89"/>
      <c r="B589" s="89"/>
      <c r="D589" s="89"/>
      <c r="E589" s="90"/>
      <c r="F589" s="90"/>
    </row>
    <row r="590">
      <c r="A590" s="89"/>
      <c r="B590" s="89"/>
      <c r="D590" s="89"/>
      <c r="E590" s="90"/>
      <c r="F590" s="90"/>
    </row>
    <row r="591">
      <c r="A591" s="89"/>
      <c r="B591" s="89"/>
      <c r="D591" s="89"/>
      <c r="E591" s="90"/>
      <c r="F591" s="90"/>
    </row>
    <row r="592">
      <c r="A592" s="89"/>
      <c r="B592" s="89"/>
      <c r="D592" s="89"/>
      <c r="E592" s="90"/>
      <c r="F592" s="90"/>
    </row>
    <row r="593">
      <c r="A593" s="89"/>
      <c r="B593" s="89"/>
      <c r="D593" s="89"/>
      <c r="E593" s="90"/>
      <c r="F593" s="90"/>
    </row>
    <row r="594">
      <c r="A594" s="89"/>
      <c r="B594" s="89"/>
      <c r="D594" s="89"/>
      <c r="E594" s="90"/>
      <c r="F594" s="90"/>
    </row>
    <row r="595">
      <c r="A595" s="89"/>
      <c r="B595" s="89"/>
      <c r="D595" s="89"/>
      <c r="E595" s="90"/>
      <c r="F595" s="90"/>
    </row>
    <row r="596">
      <c r="A596" s="89"/>
      <c r="B596" s="89"/>
      <c r="D596" s="89"/>
      <c r="E596" s="90"/>
      <c r="F596" s="90"/>
    </row>
    <row r="597">
      <c r="A597" s="89"/>
      <c r="B597" s="89"/>
      <c r="D597" s="89"/>
      <c r="E597" s="90"/>
      <c r="F597" s="90"/>
    </row>
    <row r="598">
      <c r="A598" s="89"/>
      <c r="B598" s="89"/>
      <c r="D598" s="89"/>
      <c r="E598" s="90"/>
      <c r="F598" s="90"/>
    </row>
    <row r="599">
      <c r="A599" s="89"/>
      <c r="B599" s="89"/>
      <c r="D599" s="89"/>
      <c r="E599" s="90"/>
      <c r="F599" s="90"/>
    </row>
    <row r="600">
      <c r="A600" s="89"/>
      <c r="B600" s="89"/>
      <c r="D600" s="89"/>
      <c r="E600" s="90"/>
      <c r="F600" s="90"/>
    </row>
    <row r="601">
      <c r="A601" s="89"/>
      <c r="B601" s="89"/>
      <c r="D601" s="89"/>
      <c r="E601" s="90"/>
      <c r="F601" s="90"/>
    </row>
    <row r="602">
      <c r="A602" s="89"/>
      <c r="B602" s="89"/>
      <c r="D602" s="89"/>
      <c r="E602" s="90"/>
      <c r="F602" s="90"/>
    </row>
    <row r="603">
      <c r="A603" s="89"/>
      <c r="B603" s="89"/>
      <c r="D603" s="89"/>
      <c r="E603" s="90"/>
      <c r="F603" s="90"/>
    </row>
    <row r="604">
      <c r="A604" s="89"/>
      <c r="B604" s="89"/>
      <c r="D604" s="89"/>
      <c r="E604" s="90"/>
      <c r="F604" s="90"/>
    </row>
    <row r="605">
      <c r="A605" s="89"/>
      <c r="B605" s="89"/>
      <c r="D605" s="89"/>
      <c r="E605" s="90"/>
      <c r="F605" s="90"/>
    </row>
    <row r="606">
      <c r="A606" s="89"/>
      <c r="B606" s="89"/>
      <c r="D606" s="89"/>
      <c r="E606" s="90"/>
      <c r="F606" s="90"/>
    </row>
    <row r="607">
      <c r="A607" s="89"/>
      <c r="B607" s="89"/>
      <c r="D607" s="89"/>
      <c r="E607" s="90"/>
      <c r="F607" s="90"/>
    </row>
    <row r="608">
      <c r="A608" s="89"/>
      <c r="B608" s="89"/>
      <c r="D608" s="89"/>
      <c r="E608" s="90"/>
      <c r="F608" s="90"/>
    </row>
    <row r="609">
      <c r="A609" s="89"/>
      <c r="B609" s="89"/>
      <c r="D609" s="89"/>
      <c r="E609" s="90"/>
      <c r="F609" s="90"/>
    </row>
    <row r="610">
      <c r="A610" s="89"/>
      <c r="B610" s="89"/>
      <c r="D610" s="89"/>
      <c r="E610" s="90"/>
      <c r="F610" s="90"/>
    </row>
    <row r="611">
      <c r="A611" s="89"/>
      <c r="B611" s="89"/>
      <c r="D611" s="89"/>
      <c r="E611" s="90"/>
      <c r="F611" s="90"/>
    </row>
    <row r="612">
      <c r="A612" s="89"/>
      <c r="B612" s="89"/>
      <c r="D612" s="89"/>
      <c r="E612" s="90"/>
      <c r="F612" s="90"/>
    </row>
    <row r="613">
      <c r="A613" s="89"/>
      <c r="B613" s="89"/>
      <c r="D613" s="89"/>
      <c r="E613" s="90"/>
      <c r="F613" s="90"/>
    </row>
    <row r="614">
      <c r="A614" s="89"/>
      <c r="B614" s="89"/>
      <c r="D614" s="89"/>
      <c r="E614" s="90"/>
      <c r="F614" s="90"/>
    </row>
    <row r="615">
      <c r="A615" s="89"/>
      <c r="B615" s="89"/>
      <c r="D615" s="89"/>
      <c r="E615" s="90"/>
      <c r="F615" s="90"/>
    </row>
    <row r="616">
      <c r="A616" s="89"/>
      <c r="B616" s="89"/>
      <c r="D616" s="89"/>
      <c r="E616" s="90"/>
      <c r="F616" s="90"/>
    </row>
    <row r="617">
      <c r="A617" s="89"/>
      <c r="B617" s="89"/>
      <c r="D617" s="89"/>
      <c r="E617" s="90"/>
      <c r="F617" s="90"/>
    </row>
    <row r="618">
      <c r="A618" s="89"/>
      <c r="B618" s="89"/>
      <c r="D618" s="89"/>
      <c r="E618" s="90"/>
      <c r="F618" s="90"/>
    </row>
    <row r="619">
      <c r="A619" s="89"/>
      <c r="B619" s="89"/>
      <c r="D619" s="89"/>
      <c r="E619" s="90"/>
      <c r="F619" s="90"/>
    </row>
    <row r="620">
      <c r="A620" s="89"/>
      <c r="B620" s="89"/>
      <c r="D620" s="89"/>
      <c r="E620" s="90"/>
      <c r="F620" s="90"/>
    </row>
    <row r="621">
      <c r="A621" s="89"/>
      <c r="B621" s="89"/>
      <c r="D621" s="89"/>
      <c r="E621" s="90"/>
      <c r="F621" s="90"/>
    </row>
    <row r="622">
      <c r="A622" s="89"/>
      <c r="B622" s="89"/>
      <c r="D622" s="89"/>
      <c r="E622" s="90"/>
      <c r="F622" s="90"/>
    </row>
    <row r="623">
      <c r="A623" s="89"/>
      <c r="B623" s="89"/>
      <c r="D623" s="89"/>
      <c r="E623" s="90"/>
      <c r="F623" s="90"/>
    </row>
  </sheetData>
  <drawing r:id="rId1"/>
</worksheet>
</file>